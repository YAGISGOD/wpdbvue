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TRCNN\Desktop\"/>
    </mc:Choice>
  </mc:AlternateContent>
  <xr:revisionPtr revIDLastSave="0" documentId="13_ncr:1_{D9394C2D-A8DF-47E2-8BBF-4EA910C63437}" xr6:coauthVersionLast="45" xr6:coauthVersionMax="45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装備データ" sheetId="2" r:id="rId1"/>
    <sheet name="装備閲覧" sheetId="1" r:id="rId2"/>
    <sheet name="Sheet2" sheetId="3" r:id="rId3"/>
    <sheet name="wikiName" sheetId="7" r:id="rId4"/>
    <sheet name="改修" sheetId="4" r:id="rId5"/>
    <sheet name="特殊改修値" sheetId="5" r:id="rId6"/>
    <sheet name="装備ボーナス" sheetId="6" r:id="rId7"/>
  </sheets>
  <functionGroups builtInGroupCount="19"/>
  <calcPr calcId="181029"/>
</workbook>
</file>

<file path=xl/calcChain.xml><?xml version="1.0" encoding="utf-8"?>
<calcChain xmlns="http://schemas.openxmlformats.org/spreadsheetml/2006/main">
  <c r="C3" i="5" l="1"/>
  <c r="E3" i="5" s="1"/>
  <c r="D3" i="5"/>
  <c r="C4" i="5"/>
  <c r="D4" i="5"/>
  <c r="E4" i="5"/>
  <c r="C2" i="5"/>
  <c r="E2" i="5" s="1"/>
  <c r="D2" i="5"/>
  <c r="P2" i="3"/>
  <c r="P3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20" i="3"/>
  <c r="P21" i="3"/>
  <c r="P22" i="3"/>
  <c r="P26" i="3"/>
  <c r="P27" i="3"/>
  <c r="P28" i="3"/>
  <c r="P29" i="3"/>
  <c r="P30" i="3"/>
  <c r="P31" i="3"/>
  <c r="P32" i="3"/>
  <c r="P33" i="3"/>
  <c r="P35" i="3"/>
  <c r="P36" i="3"/>
  <c r="P37" i="3"/>
  <c r="P40" i="3"/>
  <c r="P41" i="3"/>
  <c r="P45" i="3"/>
  <c r="P46" i="3"/>
  <c r="P47" i="3"/>
  <c r="P48" i="3"/>
  <c r="P50" i="3"/>
  <c r="P51" i="3"/>
  <c r="P52" i="3"/>
  <c r="P59" i="3"/>
  <c r="P60" i="3"/>
  <c r="P61" i="3"/>
  <c r="P62" i="3"/>
  <c r="P64" i="3"/>
  <c r="P66" i="3"/>
  <c r="P67" i="3"/>
  <c r="P69" i="3"/>
  <c r="P70" i="3"/>
  <c r="P73" i="3"/>
  <c r="P74" i="3"/>
  <c r="P75" i="3"/>
  <c r="P77" i="3"/>
  <c r="P80" i="3"/>
  <c r="P83" i="3"/>
  <c r="P88" i="3"/>
  <c r="P89" i="3"/>
  <c r="P90" i="3"/>
  <c r="P91" i="3"/>
  <c r="P92" i="3"/>
  <c r="P94" i="3"/>
  <c r="P97" i="3"/>
  <c r="P103" i="3"/>
  <c r="P104" i="3"/>
  <c r="P105" i="3"/>
  <c r="P106" i="3"/>
  <c r="P107" i="3"/>
  <c r="P110" i="3"/>
  <c r="P115" i="3"/>
  <c r="P117" i="3"/>
  <c r="P118" i="3"/>
  <c r="P120" i="3"/>
  <c r="P121" i="3"/>
  <c r="P122" i="3"/>
  <c r="P123" i="3"/>
  <c r="P126" i="3"/>
  <c r="P129" i="3"/>
  <c r="P132" i="3"/>
  <c r="P134" i="3"/>
  <c r="P135" i="3"/>
  <c r="P136" i="3"/>
  <c r="P138" i="3"/>
  <c r="P140" i="3"/>
  <c r="P141" i="3"/>
  <c r="P142" i="3"/>
  <c r="P146" i="3"/>
  <c r="P150" i="3"/>
  <c r="P152" i="3"/>
  <c r="P153" i="3"/>
  <c r="P154" i="3"/>
  <c r="P155" i="3"/>
  <c r="P157" i="3"/>
  <c r="P158" i="3"/>
  <c r="P162" i="3"/>
  <c r="P163" i="3"/>
  <c r="P164" i="3"/>
  <c r="P165" i="3"/>
  <c r="P166" i="3"/>
  <c r="P167" i="3"/>
  <c r="P168" i="3"/>
  <c r="P172" i="3"/>
  <c r="P175" i="3"/>
  <c r="P177" i="3"/>
  <c r="P180" i="3"/>
  <c r="P182" i="3"/>
  <c r="P183" i="3"/>
  <c r="P184" i="3"/>
  <c r="P185" i="3"/>
  <c r="P191" i="3"/>
  <c r="P193" i="3"/>
  <c r="P194" i="3"/>
  <c r="P195" i="3"/>
  <c r="P198" i="3"/>
  <c r="P199" i="3"/>
  <c r="P202" i="3"/>
  <c r="P204" i="3"/>
  <c r="P205" i="3"/>
  <c r="P206" i="3"/>
  <c r="P207" i="3"/>
  <c r="P211" i="3"/>
  <c r="P216" i="3"/>
  <c r="P217" i="3"/>
  <c r="P218" i="3"/>
  <c r="P220" i="3"/>
  <c r="P221" i="3"/>
  <c r="P222" i="3"/>
  <c r="P223" i="3"/>
  <c r="P227" i="3"/>
  <c r="P230" i="3"/>
  <c r="P235" i="3"/>
  <c r="P236" i="3"/>
  <c r="P237" i="3"/>
  <c r="P238" i="3"/>
  <c r="P243" i="3"/>
  <c r="P246" i="3"/>
  <c r="P247" i="3"/>
  <c r="P248" i="3"/>
  <c r="P249" i="3"/>
  <c r="P251" i="3"/>
  <c r="P265" i="3"/>
  <c r="P266" i="3"/>
  <c r="P273" i="3"/>
  <c r="P274" i="3"/>
  <c r="P275" i="3"/>
  <c r="P277" i="3"/>
  <c r="P279" i="3"/>
  <c r="P280" i="3"/>
  <c r="P281" i="3"/>
  <c r="P282" i="3"/>
  <c r="P283" i="3"/>
  <c r="P284" i="3"/>
  <c r="P285" i="3"/>
  <c r="P289" i="3"/>
  <c r="P292" i="3"/>
  <c r="P293" i="3"/>
  <c r="P294" i="3"/>
  <c r="P295" i="3"/>
  <c r="P296" i="3"/>
  <c r="P302" i="3"/>
  <c r="P303" i="3"/>
  <c r="P313" i="3"/>
  <c r="P316" i="3"/>
  <c r="P317" i="3"/>
  <c r="P320" i="3"/>
  <c r="P322" i="3"/>
  <c r="P323" i="3"/>
  <c r="P324" i="3"/>
  <c r="P325" i="3"/>
  <c r="P326" i="3"/>
  <c r="P328" i="3"/>
  <c r="P329" i="3"/>
  <c r="P341" i="3"/>
  <c r="P343" i="3"/>
  <c r="P345" i="3"/>
  <c r="P353" i="3"/>
  <c r="P354" i="3"/>
  <c r="P362" i="3"/>
  <c r="P364" i="3"/>
  <c r="P365" i="3"/>
  <c r="P367" i="3"/>
  <c r="P379" i="3"/>
  <c r="Q111" i="3"/>
  <c r="C1" i="5"/>
  <c r="E1" i="5" s="1"/>
  <c r="D1" i="5"/>
  <c r="R10" i="3"/>
  <c r="R18" i="3"/>
  <c r="R26" i="3"/>
  <c r="R34" i="3"/>
  <c r="R42" i="3"/>
  <c r="R50" i="3"/>
  <c r="R58" i="3"/>
  <c r="R66" i="3"/>
  <c r="R74" i="3"/>
  <c r="R82" i="3"/>
  <c r="R90" i="3"/>
  <c r="R98" i="3"/>
  <c r="R106" i="3"/>
  <c r="R114" i="3"/>
  <c r="R122" i="3"/>
  <c r="R130" i="3"/>
  <c r="R138" i="3"/>
  <c r="R146" i="3"/>
  <c r="R154" i="3"/>
  <c r="R162" i="3"/>
  <c r="R170" i="3"/>
  <c r="R178" i="3"/>
  <c r="R186" i="3"/>
  <c r="R194" i="3"/>
  <c r="R202" i="3"/>
  <c r="R210" i="3"/>
  <c r="R218" i="3"/>
  <c r="R226" i="3"/>
  <c r="R234" i="3"/>
  <c r="R242" i="3"/>
  <c r="R250" i="3"/>
  <c r="R258" i="3"/>
  <c r="R266" i="3"/>
  <c r="R274" i="3"/>
  <c r="R282" i="3"/>
  <c r="R290" i="3"/>
  <c r="R298" i="3"/>
  <c r="R306" i="3"/>
  <c r="R314" i="3"/>
  <c r="R322" i="3"/>
  <c r="R330" i="3"/>
  <c r="R338" i="3"/>
  <c r="R346" i="3"/>
  <c r="R354" i="3"/>
  <c r="R362" i="3"/>
  <c r="R370" i="3"/>
  <c r="R378" i="3"/>
  <c r="R386" i="3"/>
  <c r="R2" i="3"/>
  <c r="B117" i="6"/>
  <c r="B118" i="6"/>
  <c r="B88" i="6"/>
  <c r="B89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" i="6"/>
  <c r="C278" i="3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C15" i="5"/>
  <c r="C10" i="5"/>
  <c r="C5" i="5"/>
  <c r="C6" i="5"/>
  <c r="C7" i="5"/>
  <c r="C8" i="5"/>
  <c r="C9" i="5"/>
  <c r="C11" i="5"/>
  <c r="C12" i="5"/>
  <c r="C13" i="5"/>
  <c r="C14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P130" i="3" s="1"/>
  <c r="C34" i="5"/>
  <c r="C35" i="5"/>
  <c r="C36" i="5"/>
  <c r="C37" i="5"/>
  <c r="C38" i="5"/>
  <c r="C39" i="5"/>
  <c r="C40" i="5"/>
  <c r="C41" i="5"/>
  <c r="C42" i="5"/>
  <c r="C43" i="5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" i="4"/>
  <c r="A393" i="3"/>
  <c r="R393" i="3" s="1"/>
  <c r="B393" i="3"/>
  <c r="C393" i="3"/>
  <c r="D393" i="3"/>
  <c r="E393" i="3"/>
  <c r="F393" i="3"/>
  <c r="G393" i="3"/>
  <c r="H393" i="3"/>
  <c r="I393" i="3"/>
  <c r="J393" i="3"/>
  <c r="K393" i="3"/>
  <c r="L393" i="3"/>
  <c r="M393" i="3"/>
  <c r="N393" i="3"/>
  <c r="O393" i="3"/>
  <c r="A388" i="3"/>
  <c r="R388" i="3" s="1"/>
  <c r="B388" i="3"/>
  <c r="C388" i="3"/>
  <c r="D388" i="3"/>
  <c r="E388" i="3"/>
  <c r="F388" i="3"/>
  <c r="G388" i="3"/>
  <c r="H388" i="3"/>
  <c r="I388" i="3"/>
  <c r="J388" i="3"/>
  <c r="K388" i="3"/>
  <c r="L388" i="3"/>
  <c r="M388" i="3"/>
  <c r="N388" i="3"/>
  <c r="O388" i="3"/>
  <c r="A389" i="3"/>
  <c r="R389" i="3" s="1"/>
  <c r="B389" i="3"/>
  <c r="C389" i="3"/>
  <c r="D389" i="3"/>
  <c r="E389" i="3"/>
  <c r="F389" i="3"/>
  <c r="G389" i="3"/>
  <c r="H389" i="3"/>
  <c r="I389" i="3"/>
  <c r="J389" i="3"/>
  <c r="K389" i="3"/>
  <c r="L389" i="3"/>
  <c r="M389" i="3"/>
  <c r="N389" i="3"/>
  <c r="O389" i="3"/>
  <c r="A390" i="3"/>
  <c r="R390" i="3" s="1"/>
  <c r="B390" i="3"/>
  <c r="C390" i="3"/>
  <c r="D390" i="3"/>
  <c r="E390" i="3"/>
  <c r="F390" i="3"/>
  <c r="G390" i="3"/>
  <c r="H390" i="3"/>
  <c r="I390" i="3"/>
  <c r="J390" i="3"/>
  <c r="K390" i="3"/>
  <c r="L390" i="3"/>
  <c r="M390" i="3"/>
  <c r="N390" i="3"/>
  <c r="O390" i="3"/>
  <c r="A391" i="3"/>
  <c r="R391" i="3" s="1"/>
  <c r="B391" i="3"/>
  <c r="C391" i="3"/>
  <c r="D391" i="3"/>
  <c r="E391" i="3"/>
  <c r="F391" i="3"/>
  <c r="G391" i="3"/>
  <c r="H391" i="3"/>
  <c r="I391" i="3"/>
  <c r="J391" i="3"/>
  <c r="K391" i="3"/>
  <c r="L391" i="3"/>
  <c r="M391" i="3"/>
  <c r="N391" i="3"/>
  <c r="O391" i="3"/>
  <c r="A392" i="3"/>
  <c r="R392" i="3" s="1"/>
  <c r="B392" i="3"/>
  <c r="C392" i="3"/>
  <c r="D392" i="3"/>
  <c r="E392" i="3"/>
  <c r="F392" i="3"/>
  <c r="G392" i="3"/>
  <c r="H392" i="3"/>
  <c r="I392" i="3"/>
  <c r="J392" i="3"/>
  <c r="K392" i="3"/>
  <c r="L392" i="3"/>
  <c r="M392" i="3"/>
  <c r="N392" i="3"/>
  <c r="O392" i="3"/>
  <c r="A383" i="3"/>
  <c r="R383" i="3" s="1"/>
  <c r="B383" i="3"/>
  <c r="C383" i="3"/>
  <c r="D383" i="3"/>
  <c r="E383" i="3"/>
  <c r="F383" i="3"/>
  <c r="G383" i="3"/>
  <c r="H383" i="3"/>
  <c r="I383" i="3"/>
  <c r="J383" i="3"/>
  <c r="K383" i="3"/>
  <c r="L383" i="3"/>
  <c r="M383" i="3"/>
  <c r="N383" i="3"/>
  <c r="O383" i="3"/>
  <c r="A384" i="3"/>
  <c r="R384" i="3" s="1"/>
  <c r="B384" i="3"/>
  <c r="C384" i="3"/>
  <c r="D384" i="3"/>
  <c r="E384" i="3"/>
  <c r="F384" i="3"/>
  <c r="G384" i="3"/>
  <c r="H384" i="3"/>
  <c r="I384" i="3"/>
  <c r="J384" i="3"/>
  <c r="K384" i="3"/>
  <c r="L384" i="3"/>
  <c r="M384" i="3"/>
  <c r="N384" i="3"/>
  <c r="O384" i="3"/>
  <c r="A385" i="3"/>
  <c r="R385" i="3" s="1"/>
  <c r="B385" i="3"/>
  <c r="C385" i="3"/>
  <c r="D385" i="3"/>
  <c r="E385" i="3"/>
  <c r="F385" i="3"/>
  <c r="G385" i="3"/>
  <c r="H385" i="3"/>
  <c r="I385" i="3"/>
  <c r="J385" i="3"/>
  <c r="K385" i="3"/>
  <c r="L385" i="3"/>
  <c r="M385" i="3"/>
  <c r="N385" i="3"/>
  <c r="O385" i="3"/>
  <c r="A386" i="3"/>
  <c r="B386" i="3"/>
  <c r="C386" i="3"/>
  <c r="D386" i="3"/>
  <c r="E386" i="3"/>
  <c r="F386" i="3"/>
  <c r="G386" i="3"/>
  <c r="H386" i="3"/>
  <c r="I386" i="3"/>
  <c r="J386" i="3"/>
  <c r="K386" i="3"/>
  <c r="L386" i="3"/>
  <c r="M386" i="3"/>
  <c r="N386" i="3"/>
  <c r="O386" i="3"/>
  <c r="A387" i="3"/>
  <c r="R387" i="3" s="1"/>
  <c r="B387" i="3"/>
  <c r="C387" i="3"/>
  <c r="D387" i="3"/>
  <c r="E387" i="3"/>
  <c r="F387" i="3"/>
  <c r="G387" i="3"/>
  <c r="H387" i="3"/>
  <c r="I387" i="3"/>
  <c r="J387" i="3"/>
  <c r="K387" i="3"/>
  <c r="L387" i="3"/>
  <c r="M387" i="3"/>
  <c r="N387" i="3"/>
  <c r="O387" i="3"/>
  <c r="A370" i="3"/>
  <c r="B370" i="3"/>
  <c r="C370" i="3"/>
  <c r="D370" i="3"/>
  <c r="E370" i="3"/>
  <c r="F370" i="3"/>
  <c r="G370" i="3"/>
  <c r="H370" i="3"/>
  <c r="I370" i="3"/>
  <c r="J370" i="3"/>
  <c r="K370" i="3"/>
  <c r="L370" i="3"/>
  <c r="M370" i="3"/>
  <c r="N370" i="3"/>
  <c r="O370" i="3"/>
  <c r="A371" i="3"/>
  <c r="R371" i="3" s="1"/>
  <c r="B371" i="3"/>
  <c r="C371" i="3"/>
  <c r="D371" i="3"/>
  <c r="E371" i="3"/>
  <c r="F371" i="3"/>
  <c r="G371" i="3"/>
  <c r="H371" i="3"/>
  <c r="I371" i="3"/>
  <c r="J371" i="3"/>
  <c r="K371" i="3"/>
  <c r="L371" i="3"/>
  <c r="M371" i="3"/>
  <c r="N371" i="3"/>
  <c r="O371" i="3"/>
  <c r="A372" i="3"/>
  <c r="R372" i="3" s="1"/>
  <c r="B372" i="3"/>
  <c r="C372" i="3"/>
  <c r="D372" i="3"/>
  <c r="E372" i="3"/>
  <c r="F372" i="3"/>
  <c r="G372" i="3"/>
  <c r="H372" i="3"/>
  <c r="I372" i="3"/>
  <c r="J372" i="3"/>
  <c r="K372" i="3"/>
  <c r="L372" i="3"/>
  <c r="M372" i="3"/>
  <c r="N372" i="3"/>
  <c r="O372" i="3"/>
  <c r="A373" i="3"/>
  <c r="R373" i="3" s="1"/>
  <c r="B373" i="3"/>
  <c r="C373" i="3"/>
  <c r="D373" i="3"/>
  <c r="E373" i="3"/>
  <c r="F373" i="3"/>
  <c r="G373" i="3"/>
  <c r="H373" i="3"/>
  <c r="I373" i="3"/>
  <c r="J373" i="3"/>
  <c r="K373" i="3"/>
  <c r="L373" i="3"/>
  <c r="M373" i="3"/>
  <c r="N373" i="3"/>
  <c r="O373" i="3"/>
  <c r="A374" i="3"/>
  <c r="R374" i="3" s="1"/>
  <c r="B374" i="3"/>
  <c r="C374" i="3"/>
  <c r="D374" i="3"/>
  <c r="E374" i="3"/>
  <c r="F374" i="3"/>
  <c r="G374" i="3"/>
  <c r="H374" i="3"/>
  <c r="I374" i="3"/>
  <c r="J374" i="3"/>
  <c r="K374" i="3"/>
  <c r="L374" i="3"/>
  <c r="M374" i="3"/>
  <c r="N374" i="3"/>
  <c r="O374" i="3"/>
  <c r="A375" i="3"/>
  <c r="R375" i="3" s="1"/>
  <c r="B375" i="3"/>
  <c r="C375" i="3"/>
  <c r="D375" i="3"/>
  <c r="E375" i="3"/>
  <c r="F375" i="3"/>
  <c r="G375" i="3"/>
  <c r="H375" i="3"/>
  <c r="I375" i="3"/>
  <c r="J375" i="3"/>
  <c r="K375" i="3"/>
  <c r="L375" i="3"/>
  <c r="M375" i="3"/>
  <c r="N375" i="3"/>
  <c r="O375" i="3"/>
  <c r="A376" i="3"/>
  <c r="R376" i="3" s="1"/>
  <c r="B376" i="3"/>
  <c r="C376" i="3"/>
  <c r="D376" i="3"/>
  <c r="E376" i="3"/>
  <c r="F376" i="3"/>
  <c r="G376" i="3"/>
  <c r="H376" i="3"/>
  <c r="I376" i="3"/>
  <c r="J376" i="3"/>
  <c r="K376" i="3"/>
  <c r="L376" i="3"/>
  <c r="M376" i="3"/>
  <c r="N376" i="3"/>
  <c r="O376" i="3"/>
  <c r="A377" i="3"/>
  <c r="R377" i="3" s="1"/>
  <c r="B377" i="3"/>
  <c r="C377" i="3"/>
  <c r="D377" i="3"/>
  <c r="E377" i="3"/>
  <c r="F377" i="3"/>
  <c r="G377" i="3"/>
  <c r="H377" i="3"/>
  <c r="I377" i="3"/>
  <c r="J377" i="3"/>
  <c r="K377" i="3"/>
  <c r="L377" i="3"/>
  <c r="M377" i="3"/>
  <c r="N377" i="3"/>
  <c r="O377" i="3"/>
  <c r="A378" i="3"/>
  <c r="B378" i="3"/>
  <c r="C378" i="3"/>
  <c r="D378" i="3"/>
  <c r="E378" i="3"/>
  <c r="F378" i="3"/>
  <c r="G378" i="3"/>
  <c r="H378" i="3"/>
  <c r="I378" i="3"/>
  <c r="J378" i="3"/>
  <c r="K378" i="3"/>
  <c r="L378" i="3"/>
  <c r="M378" i="3"/>
  <c r="N378" i="3"/>
  <c r="O378" i="3"/>
  <c r="A379" i="3"/>
  <c r="R379" i="3" s="1"/>
  <c r="B379" i="3"/>
  <c r="C379" i="3"/>
  <c r="D379" i="3"/>
  <c r="E379" i="3"/>
  <c r="F379" i="3"/>
  <c r="G379" i="3"/>
  <c r="H379" i="3"/>
  <c r="I379" i="3"/>
  <c r="J379" i="3"/>
  <c r="K379" i="3"/>
  <c r="L379" i="3"/>
  <c r="M379" i="3"/>
  <c r="N379" i="3"/>
  <c r="O379" i="3"/>
  <c r="A380" i="3"/>
  <c r="R380" i="3" s="1"/>
  <c r="B380" i="3"/>
  <c r="C380" i="3"/>
  <c r="D380" i="3"/>
  <c r="E380" i="3"/>
  <c r="F380" i="3"/>
  <c r="G380" i="3"/>
  <c r="H380" i="3"/>
  <c r="I380" i="3"/>
  <c r="J380" i="3"/>
  <c r="K380" i="3"/>
  <c r="L380" i="3"/>
  <c r="M380" i="3"/>
  <c r="N380" i="3"/>
  <c r="O380" i="3"/>
  <c r="A381" i="3"/>
  <c r="R381" i="3" s="1"/>
  <c r="B381" i="3"/>
  <c r="C381" i="3"/>
  <c r="D381" i="3"/>
  <c r="E381" i="3"/>
  <c r="F381" i="3"/>
  <c r="G381" i="3"/>
  <c r="H381" i="3"/>
  <c r="I381" i="3"/>
  <c r="J381" i="3"/>
  <c r="K381" i="3"/>
  <c r="L381" i="3"/>
  <c r="M381" i="3"/>
  <c r="N381" i="3"/>
  <c r="O381" i="3"/>
  <c r="A382" i="3"/>
  <c r="R382" i="3" s="1"/>
  <c r="B382" i="3"/>
  <c r="C382" i="3"/>
  <c r="D382" i="3"/>
  <c r="E382" i="3"/>
  <c r="F382" i="3"/>
  <c r="G382" i="3"/>
  <c r="H382" i="3"/>
  <c r="I382" i="3"/>
  <c r="J382" i="3"/>
  <c r="K382" i="3"/>
  <c r="L382" i="3"/>
  <c r="M382" i="3"/>
  <c r="N382" i="3"/>
  <c r="O382" i="3"/>
  <c r="A354" i="3"/>
  <c r="B354" i="3"/>
  <c r="C354" i="3"/>
  <c r="D354" i="3"/>
  <c r="E354" i="3"/>
  <c r="F354" i="3"/>
  <c r="G354" i="3"/>
  <c r="H354" i="3"/>
  <c r="I354" i="3"/>
  <c r="J354" i="3"/>
  <c r="K354" i="3"/>
  <c r="L354" i="3"/>
  <c r="M354" i="3"/>
  <c r="N354" i="3"/>
  <c r="O354" i="3"/>
  <c r="A355" i="3"/>
  <c r="R355" i="3" s="1"/>
  <c r="B355" i="3"/>
  <c r="C355" i="3"/>
  <c r="D355" i="3"/>
  <c r="E355" i="3"/>
  <c r="F355" i="3"/>
  <c r="G355" i="3"/>
  <c r="H355" i="3"/>
  <c r="I355" i="3"/>
  <c r="J355" i="3"/>
  <c r="K355" i="3"/>
  <c r="L355" i="3"/>
  <c r="M355" i="3"/>
  <c r="N355" i="3"/>
  <c r="O355" i="3"/>
  <c r="A356" i="3"/>
  <c r="R356" i="3" s="1"/>
  <c r="B356" i="3"/>
  <c r="C356" i="3"/>
  <c r="D356" i="3"/>
  <c r="E356" i="3"/>
  <c r="F356" i="3"/>
  <c r="G356" i="3"/>
  <c r="H356" i="3"/>
  <c r="I356" i="3"/>
  <c r="J356" i="3"/>
  <c r="K356" i="3"/>
  <c r="L356" i="3"/>
  <c r="M356" i="3"/>
  <c r="N356" i="3"/>
  <c r="O356" i="3"/>
  <c r="A357" i="3"/>
  <c r="R357" i="3" s="1"/>
  <c r="B357" i="3"/>
  <c r="C357" i="3"/>
  <c r="D357" i="3"/>
  <c r="E357" i="3"/>
  <c r="F357" i="3"/>
  <c r="G357" i="3"/>
  <c r="H357" i="3"/>
  <c r="I357" i="3"/>
  <c r="J357" i="3"/>
  <c r="K357" i="3"/>
  <c r="L357" i="3"/>
  <c r="M357" i="3"/>
  <c r="N357" i="3"/>
  <c r="O357" i="3"/>
  <c r="A358" i="3"/>
  <c r="R358" i="3" s="1"/>
  <c r="B358" i="3"/>
  <c r="C358" i="3"/>
  <c r="D358" i="3"/>
  <c r="E358" i="3"/>
  <c r="F358" i="3"/>
  <c r="G358" i="3"/>
  <c r="H358" i="3"/>
  <c r="I358" i="3"/>
  <c r="J358" i="3"/>
  <c r="K358" i="3"/>
  <c r="L358" i="3"/>
  <c r="M358" i="3"/>
  <c r="N358" i="3"/>
  <c r="O358" i="3"/>
  <c r="A359" i="3"/>
  <c r="R359" i="3" s="1"/>
  <c r="B359" i="3"/>
  <c r="C359" i="3"/>
  <c r="D359" i="3"/>
  <c r="E359" i="3"/>
  <c r="F359" i="3"/>
  <c r="G359" i="3"/>
  <c r="H359" i="3"/>
  <c r="I359" i="3"/>
  <c r="J359" i="3"/>
  <c r="K359" i="3"/>
  <c r="L359" i="3"/>
  <c r="M359" i="3"/>
  <c r="N359" i="3"/>
  <c r="O359" i="3"/>
  <c r="A360" i="3"/>
  <c r="R360" i="3" s="1"/>
  <c r="B360" i="3"/>
  <c r="C360" i="3"/>
  <c r="D360" i="3"/>
  <c r="E360" i="3"/>
  <c r="F360" i="3"/>
  <c r="G360" i="3"/>
  <c r="H360" i="3"/>
  <c r="I360" i="3"/>
  <c r="J360" i="3"/>
  <c r="K360" i="3"/>
  <c r="L360" i="3"/>
  <c r="M360" i="3"/>
  <c r="N360" i="3"/>
  <c r="O360" i="3"/>
  <c r="A361" i="3"/>
  <c r="R361" i="3" s="1"/>
  <c r="B361" i="3"/>
  <c r="C361" i="3"/>
  <c r="D361" i="3"/>
  <c r="E361" i="3"/>
  <c r="F361" i="3"/>
  <c r="G361" i="3"/>
  <c r="H361" i="3"/>
  <c r="I361" i="3"/>
  <c r="J361" i="3"/>
  <c r="K361" i="3"/>
  <c r="L361" i="3"/>
  <c r="M361" i="3"/>
  <c r="N361" i="3"/>
  <c r="O361" i="3"/>
  <c r="A362" i="3"/>
  <c r="B362" i="3"/>
  <c r="C362" i="3"/>
  <c r="D362" i="3"/>
  <c r="E362" i="3"/>
  <c r="F362" i="3"/>
  <c r="G362" i="3"/>
  <c r="H362" i="3"/>
  <c r="I362" i="3"/>
  <c r="J362" i="3"/>
  <c r="K362" i="3"/>
  <c r="L362" i="3"/>
  <c r="M362" i="3"/>
  <c r="N362" i="3"/>
  <c r="O362" i="3"/>
  <c r="A363" i="3"/>
  <c r="R363" i="3" s="1"/>
  <c r="B363" i="3"/>
  <c r="C363" i="3"/>
  <c r="D363" i="3"/>
  <c r="E363" i="3"/>
  <c r="F363" i="3"/>
  <c r="G363" i="3"/>
  <c r="H363" i="3"/>
  <c r="I363" i="3"/>
  <c r="J363" i="3"/>
  <c r="K363" i="3"/>
  <c r="L363" i="3"/>
  <c r="M363" i="3"/>
  <c r="N363" i="3"/>
  <c r="O363" i="3"/>
  <c r="A364" i="3"/>
  <c r="R364" i="3" s="1"/>
  <c r="B364" i="3"/>
  <c r="C364" i="3"/>
  <c r="D364" i="3"/>
  <c r="E364" i="3"/>
  <c r="F364" i="3"/>
  <c r="G364" i="3"/>
  <c r="H364" i="3"/>
  <c r="I364" i="3"/>
  <c r="J364" i="3"/>
  <c r="K364" i="3"/>
  <c r="L364" i="3"/>
  <c r="M364" i="3"/>
  <c r="N364" i="3"/>
  <c r="O364" i="3"/>
  <c r="A365" i="3"/>
  <c r="R365" i="3" s="1"/>
  <c r="B365" i="3"/>
  <c r="C365" i="3"/>
  <c r="D365" i="3"/>
  <c r="E365" i="3"/>
  <c r="F365" i="3"/>
  <c r="G365" i="3"/>
  <c r="H365" i="3"/>
  <c r="I365" i="3"/>
  <c r="J365" i="3"/>
  <c r="K365" i="3"/>
  <c r="L365" i="3"/>
  <c r="M365" i="3"/>
  <c r="N365" i="3"/>
  <c r="O365" i="3"/>
  <c r="A366" i="3"/>
  <c r="R366" i="3" s="1"/>
  <c r="B366" i="3"/>
  <c r="C366" i="3"/>
  <c r="D366" i="3"/>
  <c r="E366" i="3"/>
  <c r="F366" i="3"/>
  <c r="G366" i="3"/>
  <c r="H366" i="3"/>
  <c r="I366" i="3"/>
  <c r="J366" i="3"/>
  <c r="K366" i="3"/>
  <c r="L366" i="3"/>
  <c r="M366" i="3"/>
  <c r="N366" i="3"/>
  <c r="O366" i="3"/>
  <c r="A367" i="3"/>
  <c r="R367" i="3" s="1"/>
  <c r="B367" i="3"/>
  <c r="C367" i="3"/>
  <c r="D367" i="3"/>
  <c r="E367" i="3"/>
  <c r="F367" i="3"/>
  <c r="G367" i="3"/>
  <c r="H367" i="3"/>
  <c r="I367" i="3"/>
  <c r="J367" i="3"/>
  <c r="K367" i="3"/>
  <c r="L367" i="3"/>
  <c r="M367" i="3"/>
  <c r="N367" i="3"/>
  <c r="O367" i="3"/>
  <c r="A368" i="3"/>
  <c r="R368" i="3" s="1"/>
  <c r="B368" i="3"/>
  <c r="C368" i="3"/>
  <c r="D368" i="3"/>
  <c r="E368" i="3"/>
  <c r="F368" i="3"/>
  <c r="G368" i="3"/>
  <c r="H368" i="3"/>
  <c r="I368" i="3"/>
  <c r="J368" i="3"/>
  <c r="K368" i="3"/>
  <c r="L368" i="3"/>
  <c r="M368" i="3"/>
  <c r="N368" i="3"/>
  <c r="O368" i="3"/>
  <c r="A369" i="3"/>
  <c r="R369" i="3" s="1"/>
  <c r="B369" i="3"/>
  <c r="C369" i="3"/>
  <c r="D369" i="3"/>
  <c r="E369" i="3"/>
  <c r="F369" i="3"/>
  <c r="G369" i="3"/>
  <c r="H369" i="3"/>
  <c r="I369" i="3"/>
  <c r="J369" i="3"/>
  <c r="K369" i="3"/>
  <c r="L369" i="3"/>
  <c r="M369" i="3"/>
  <c r="N369" i="3"/>
  <c r="O369" i="3"/>
  <c r="A3" i="3"/>
  <c r="R3" i="3" s="1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A4" i="3"/>
  <c r="R4" i="3" s="1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A5" i="3"/>
  <c r="R5" i="3" s="1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A6" i="3"/>
  <c r="R6" i="3" s="1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A7" i="3"/>
  <c r="R7" i="3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A8" i="3"/>
  <c r="R8" i="3" s="1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A9" i="3"/>
  <c r="R9" i="3" s="1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A11" i="3"/>
  <c r="R11" i="3" s="1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A12" i="3"/>
  <c r="R12" i="3" s="1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A13" i="3"/>
  <c r="R13" i="3" s="1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A14" i="3"/>
  <c r="R14" i="3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A15" i="3"/>
  <c r="R15" i="3" s="1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A16" i="3"/>
  <c r="R16" i="3" s="1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A17" i="3"/>
  <c r="R17" i="3" s="1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A19" i="3"/>
  <c r="R19" i="3" s="1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A20" i="3"/>
  <c r="R20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A21" i="3"/>
  <c r="R21" i="3" s="1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A22" i="3"/>
  <c r="R22" i="3" s="1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A23" i="3"/>
  <c r="R23" i="3" s="1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A24" i="3"/>
  <c r="R24" i="3" s="1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A25" i="3"/>
  <c r="R25" i="3" s="1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A27" i="3"/>
  <c r="R27" i="3" s="1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A28" i="3"/>
  <c r="R28" i="3" s="1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A29" i="3"/>
  <c r="R29" i="3" s="1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A30" i="3"/>
  <c r="R30" i="3" s="1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A31" i="3"/>
  <c r="R31" i="3" s="1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A32" i="3"/>
  <c r="R32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A33" i="3"/>
  <c r="R33" i="3" s="1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A3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A35" i="3"/>
  <c r="R35" i="3" s="1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A36" i="3"/>
  <c r="R36" i="3" s="1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A37" i="3"/>
  <c r="R37" i="3" s="1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A38" i="3"/>
  <c r="R38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A39" i="3"/>
  <c r="R39" i="3" s="1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A40" i="3"/>
  <c r="R40" i="3" s="1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A41" i="3"/>
  <c r="R41" i="3" s="1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A42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A43" i="3"/>
  <c r="R43" i="3" s="1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A44" i="3"/>
  <c r="R44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A45" i="3"/>
  <c r="R45" i="3" s="1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A46" i="3"/>
  <c r="R46" i="3" s="1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A47" i="3"/>
  <c r="R47" i="3" s="1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A48" i="3"/>
  <c r="R48" i="3" s="1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A49" i="3"/>
  <c r="R49" i="3" s="1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A50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A51" i="3"/>
  <c r="R51" i="3" s="1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A52" i="3"/>
  <c r="R52" i="3" s="1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A53" i="3"/>
  <c r="R53" i="3" s="1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A54" i="3"/>
  <c r="R54" i="3" s="1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A55" i="3"/>
  <c r="R55" i="3" s="1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A56" i="3"/>
  <c r="R56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A57" i="3"/>
  <c r="R57" i="3" s="1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A58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A59" i="3"/>
  <c r="R59" i="3" s="1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A60" i="3"/>
  <c r="R60" i="3" s="1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A61" i="3"/>
  <c r="R61" i="3" s="1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A62" i="3"/>
  <c r="R62" i="3" s="1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A63" i="3"/>
  <c r="R63" i="3" s="1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A64" i="3"/>
  <c r="R64" i="3" s="1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A65" i="3"/>
  <c r="R65" i="3" s="1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A66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A67" i="3"/>
  <c r="R67" i="3" s="1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A68" i="3"/>
  <c r="R68" i="3" s="1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A69" i="3"/>
  <c r="R69" i="3" s="1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A70" i="3"/>
  <c r="R70" i="3" s="1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A71" i="3"/>
  <c r="R71" i="3" s="1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A72" i="3"/>
  <c r="R72" i="3" s="1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A73" i="3"/>
  <c r="R73" i="3" s="1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A74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A75" i="3"/>
  <c r="R75" i="3" s="1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A76" i="3"/>
  <c r="R76" i="3" s="1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A77" i="3"/>
  <c r="R77" i="3" s="1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A78" i="3"/>
  <c r="R78" i="3" s="1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A79" i="3"/>
  <c r="R79" i="3" s="1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A80" i="3"/>
  <c r="R80" i="3" s="1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A81" i="3"/>
  <c r="R81" i="3" s="1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A82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A83" i="3"/>
  <c r="R83" i="3" s="1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A84" i="3"/>
  <c r="R84" i="3" s="1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A85" i="3"/>
  <c r="R85" i="3" s="1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A86" i="3"/>
  <c r="R86" i="3" s="1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A87" i="3"/>
  <c r="R87" i="3" s="1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A88" i="3"/>
  <c r="R88" i="3" s="1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A89" i="3"/>
  <c r="R89" i="3" s="1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A90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A91" i="3"/>
  <c r="R91" i="3" s="1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A92" i="3"/>
  <c r="R92" i="3" s="1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A93" i="3"/>
  <c r="R93" i="3" s="1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A94" i="3"/>
  <c r="R94" i="3" s="1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A95" i="3"/>
  <c r="R95" i="3" s="1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A96" i="3"/>
  <c r="R96" i="3" s="1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A97" i="3"/>
  <c r="R97" i="3" s="1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A98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A99" i="3"/>
  <c r="R99" i="3" s="1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A100" i="3"/>
  <c r="R100" i="3" s="1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A101" i="3"/>
  <c r="R101" i="3" s="1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A102" i="3"/>
  <c r="R102" i="3" s="1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A103" i="3"/>
  <c r="R103" i="3" s="1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A104" i="3"/>
  <c r="R104" i="3" s="1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A105" i="3"/>
  <c r="R105" i="3" s="1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A107" i="3"/>
  <c r="R107" i="3" s="1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A108" i="3"/>
  <c r="R108" i="3" s="1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A109" i="3"/>
  <c r="R109" i="3" s="1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A110" i="3"/>
  <c r="R110" i="3" s="1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A111" i="3"/>
  <c r="R111" i="3" s="1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A112" i="3"/>
  <c r="R112" i="3" s="1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A113" i="3"/>
  <c r="R113" i="3" s="1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A115" i="3"/>
  <c r="R115" i="3" s="1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A116" i="3"/>
  <c r="R116" i="3" s="1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A117" i="3"/>
  <c r="R117" i="3" s="1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A118" i="3"/>
  <c r="R118" i="3" s="1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A119" i="3"/>
  <c r="R119" i="3" s="1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A120" i="3"/>
  <c r="R120" i="3" s="1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A121" i="3"/>
  <c r="R121" i="3" s="1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A122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A123" i="3"/>
  <c r="R123" i="3" s="1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A124" i="3"/>
  <c r="R124" i="3" s="1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A125" i="3"/>
  <c r="R125" i="3" s="1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A126" i="3"/>
  <c r="R126" i="3" s="1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A127" i="3"/>
  <c r="R127" i="3" s="1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A128" i="3"/>
  <c r="R128" i="3" s="1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A129" i="3"/>
  <c r="R129" i="3" s="1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A130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A131" i="3"/>
  <c r="R131" i="3" s="1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A132" i="3"/>
  <c r="R132" i="3" s="1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A133" i="3"/>
  <c r="R133" i="3" s="1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A134" i="3"/>
  <c r="R134" i="3" s="1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A135" i="3"/>
  <c r="R135" i="3" s="1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A136" i="3"/>
  <c r="R136" i="3" s="1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A137" i="3"/>
  <c r="R137" i="3" s="1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A138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A139" i="3"/>
  <c r="R139" i="3" s="1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A140" i="3"/>
  <c r="R140" i="3" s="1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A141" i="3"/>
  <c r="R141" i="3" s="1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A142" i="3"/>
  <c r="R142" i="3" s="1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A143" i="3"/>
  <c r="R143" i="3" s="1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A144" i="3"/>
  <c r="R144" i="3" s="1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A145" i="3"/>
  <c r="R145" i="3" s="1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A146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A147" i="3"/>
  <c r="R147" i="3" s="1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A148" i="3"/>
  <c r="R148" i="3" s="1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A149" i="3"/>
  <c r="R149" i="3" s="1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A150" i="3"/>
  <c r="R150" i="3" s="1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A151" i="3"/>
  <c r="R151" i="3" s="1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A152" i="3"/>
  <c r="R152" i="3" s="1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A153" i="3"/>
  <c r="R153" i="3" s="1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A154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A155" i="3"/>
  <c r="R155" i="3" s="1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A156" i="3"/>
  <c r="R156" i="3" s="1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A157" i="3"/>
  <c r="R157" i="3" s="1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A158" i="3"/>
  <c r="R158" i="3" s="1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A159" i="3"/>
  <c r="R159" i="3" s="1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A160" i="3"/>
  <c r="R160" i="3" s="1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A161" i="3"/>
  <c r="R161" i="3" s="1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A162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A163" i="3"/>
  <c r="R163" i="3" s="1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A164" i="3"/>
  <c r="R164" i="3" s="1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A165" i="3"/>
  <c r="R165" i="3" s="1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A166" i="3"/>
  <c r="R166" i="3" s="1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A167" i="3"/>
  <c r="R167" i="3" s="1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A168" i="3"/>
  <c r="R168" i="3" s="1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A169" i="3"/>
  <c r="R169" i="3" s="1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A170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A171" i="3"/>
  <c r="R171" i="3" s="1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A172" i="3"/>
  <c r="R172" i="3" s="1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A173" i="3"/>
  <c r="R173" i="3" s="1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A174" i="3"/>
  <c r="R174" i="3" s="1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A175" i="3"/>
  <c r="R175" i="3" s="1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A176" i="3"/>
  <c r="R176" i="3" s="1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A177" i="3"/>
  <c r="R177" i="3" s="1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A178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A179" i="3"/>
  <c r="R179" i="3" s="1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A180" i="3"/>
  <c r="R180" i="3" s="1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A181" i="3"/>
  <c r="R181" i="3" s="1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A182" i="3"/>
  <c r="R182" i="3" s="1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A183" i="3"/>
  <c r="R183" i="3" s="1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A184" i="3"/>
  <c r="R184" i="3" s="1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A185" i="3"/>
  <c r="R185" i="3" s="1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A186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A187" i="3"/>
  <c r="R187" i="3" s="1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A188" i="3"/>
  <c r="R188" i="3" s="1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A189" i="3"/>
  <c r="R189" i="3" s="1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A190" i="3"/>
  <c r="R190" i="3" s="1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A191" i="3"/>
  <c r="R191" i="3" s="1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A192" i="3"/>
  <c r="R192" i="3" s="1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A193" i="3"/>
  <c r="R193" i="3" s="1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A194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A195" i="3"/>
  <c r="R195" i="3" s="1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A196" i="3"/>
  <c r="R196" i="3" s="1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A197" i="3"/>
  <c r="R197" i="3" s="1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A198" i="3"/>
  <c r="R198" i="3" s="1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A199" i="3"/>
  <c r="R199" i="3" s="1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A200" i="3"/>
  <c r="R200" i="3" s="1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A201" i="3"/>
  <c r="R201" i="3" s="1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A202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A203" i="3"/>
  <c r="R203" i="3" s="1"/>
  <c r="B203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A204" i="3"/>
  <c r="R204" i="3" s="1"/>
  <c r="B204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A205" i="3"/>
  <c r="R205" i="3" s="1"/>
  <c r="B205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A206" i="3"/>
  <c r="R206" i="3" s="1"/>
  <c r="B206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A207" i="3"/>
  <c r="R207" i="3" s="1"/>
  <c r="B207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A208" i="3"/>
  <c r="R208" i="3" s="1"/>
  <c r="B208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A209" i="3"/>
  <c r="R209" i="3" s="1"/>
  <c r="B209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A210" i="3"/>
  <c r="B210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A211" i="3"/>
  <c r="R211" i="3" s="1"/>
  <c r="B211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A212" i="3"/>
  <c r="R212" i="3" s="1"/>
  <c r="B212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A213" i="3"/>
  <c r="R213" i="3" s="1"/>
  <c r="B213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A214" i="3"/>
  <c r="R214" i="3" s="1"/>
  <c r="B214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A215" i="3"/>
  <c r="R215" i="3" s="1"/>
  <c r="B215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A216" i="3"/>
  <c r="R216" i="3" s="1"/>
  <c r="B216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A217" i="3"/>
  <c r="R217" i="3" s="1"/>
  <c r="B217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A218" i="3"/>
  <c r="B218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A219" i="3"/>
  <c r="R219" i="3" s="1"/>
  <c r="B219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A220" i="3"/>
  <c r="R220" i="3" s="1"/>
  <c r="B220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A221" i="3"/>
  <c r="R221" i="3" s="1"/>
  <c r="B221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A222" i="3"/>
  <c r="R222" i="3" s="1"/>
  <c r="B222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A223" i="3"/>
  <c r="R223" i="3" s="1"/>
  <c r="B223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O223" i="3"/>
  <c r="A224" i="3"/>
  <c r="R224" i="3" s="1"/>
  <c r="B224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O224" i="3"/>
  <c r="A225" i="3"/>
  <c r="R225" i="3" s="1"/>
  <c r="B225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O225" i="3"/>
  <c r="A226" i="3"/>
  <c r="B226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O226" i="3"/>
  <c r="A227" i="3"/>
  <c r="R227" i="3" s="1"/>
  <c r="B227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O227" i="3"/>
  <c r="A228" i="3"/>
  <c r="R228" i="3" s="1"/>
  <c r="B228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O228" i="3"/>
  <c r="A229" i="3"/>
  <c r="R229" i="3" s="1"/>
  <c r="B229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O229" i="3"/>
  <c r="A230" i="3"/>
  <c r="R230" i="3" s="1"/>
  <c r="B230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A231" i="3"/>
  <c r="R231" i="3" s="1"/>
  <c r="B231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O231" i="3"/>
  <c r="A232" i="3"/>
  <c r="R232" i="3" s="1"/>
  <c r="B232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O232" i="3"/>
  <c r="A233" i="3"/>
  <c r="R233" i="3" s="1"/>
  <c r="B233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O233" i="3"/>
  <c r="A234" i="3"/>
  <c r="B234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O234" i="3"/>
  <c r="A235" i="3"/>
  <c r="R235" i="3" s="1"/>
  <c r="B235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A236" i="3"/>
  <c r="R236" i="3" s="1"/>
  <c r="B236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O236" i="3"/>
  <c r="A237" i="3"/>
  <c r="R237" i="3" s="1"/>
  <c r="B237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O237" i="3"/>
  <c r="A238" i="3"/>
  <c r="R238" i="3" s="1"/>
  <c r="B238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O238" i="3"/>
  <c r="A239" i="3"/>
  <c r="R239" i="3" s="1"/>
  <c r="B239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O239" i="3"/>
  <c r="A240" i="3"/>
  <c r="R240" i="3" s="1"/>
  <c r="B240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O240" i="3"/>
  <c r="A241" i="3"/>
  <c r="R241" i="3" s="1"/>
  <c r="B241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O241" i="3"/>
  <c r="A242" i="3"/>
  <c r="B242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A243" i="3"/>
  <c r="R243" i="3" s="1"/>
  <c r="B243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O243" i="3"/>
  <c r="A244" i="3"/>
  <c r="R244" i="3" s="1"/>
  <c r="B244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O244" i="3"/>
  <c r="A245" i="3"/>
  <c r="R245" i="3" s="1"/>
  <c r="B245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O245" i="3"/>
  <c r="A246" i="3"/>
  <c r="R246" i="3" s="1"/>
  <c r="B246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O246" i="3"/>
  <c r="A247" i="3"/>
  <c r="R247" i="3" s="1"/>
  <c r="B247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O247" i="3"/>
  <c r="A248" i="3"/>
  <c r="R248" i="3" s="1"/>
  <c r="B248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O248" i="3"/>
  <c r="A249" i="3"/>
  <c r="R249" i="3" s="1"/>
  <c r="B249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O249" i="3"/>
  <c r="A250" i="3"/>
  <c r="B250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A251" i="3"/>
  <c r="R251" i="3" s="1"/>
  <c r="B251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O251" i="3"/>
  <c r="A252" i="3"/>
  <c r="R252" i="3" s="1"/>
  <c r="B252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O252" i="3"/>
  <c r="A253" i="3"/>
  <c r="R253" i="3" s="1"/>
  <c r="B253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A254" i="3"/>
  <c r="R254" i="3" s="1"/>
  <c r="B254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O254" i="3"/>
  <c r="A255" i="3"/>
  <c r="R255" i="3" s="1"/>
  <c r="B255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O255" i="3"/>
  <c r="A256" i="3"/>
  <c r="R256" i="3" s="1"/>
  <c r="B256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A257" i="3"/>
  <c r="R257" i="3" s="1"/>
  <c r="B257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O257" i="3"/>
  <c r="A258" i="3"/>
  <c r="B258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A259" i="3"/>
  <c r="R259" i="3" s="1"/>
  <c r="B259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O259" i="3"/>
  <c r="A260" i="3"/>
  <c r="R260" i="3" s="1"/>
  <c r="B260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O260" i="3"/>
  <c r="A261" i="3"/>
  <c r="R261" i="3" s="1"/>
  <c r="B261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O261" i="3"/>
  <c r="A262" i="3"/>
  <c r="R262" i="3" s="1"/>
  <c r="B262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O262" i="3"/>
  <c r="A263" i="3"/>
  <c r="R263" i="3" s="1"/>
  <c r="B263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O263" i="3"/>
  <c r="A264" i="3"/>
  <c r="R264" i="3" s="1"/>
  <c r="B264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O264" i="3"/>
  <c r="A265" i="3"/>
  <c r="R265" i="3" s="1"/>
  <c r="B265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O265" i="3"/>
  <c r="A266" i="3"/>
  <c r="B266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O266" i="3"/>
  <c r="A267" i="3"/>
  <c r="R267" i="3" s="1"/>
  <c r="B267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A268" i="3"/>
  <c r="R268" i="3" s="1"/>
  <c r="B268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O268" i="3"/>
  <c r="A269" i="3"/>
  <c r="R269" i="3" s="1"/>
  <c r="B269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A270" i="3"/>
  <c r="R270" i="3" s="1"/>
  <c r="B270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A271" i="3"/>
  <c r="R271" i="3" s="1"/>
  <c r="B271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O271" i="3"/>
  <c r="A272" i="3"/>
  <c r="R272" i="3" s="1"/>
  <c r="B272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O272" i="3"/>
  <c r="A273" i="3"/>
  <c r="R273" i="3" s="1"/>
  <c r="B273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O273" i="3"/>
  <c r="A274" i="3"/>
  <c r="B274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A275" i="3"/>
  <c r="R275" i="3" s="1"/>
  <c r="B275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A276" i="3"/>
  <c r="R276" i="3" s="1"/>
  <c r="B276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O276" i="3"/>
  <c r="A277" i="3"/>
  <c r="R277" i="3" s="1"/>
  <c r="B277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O277" i="3"/>
  <c r="A278" i="3"/>
  <c r="R278" i="3" s="1"/>
  <c r="B278" i="3"/>
  <c r="D278" i="3"/>
  <c r="E278" i="3"/>
  <c r="F278" i="3"/>
  <c r="G278" i="3"/>
  <c r="H278" i="3"/>
  <c r="I278" i="3"/>
  <c r="J278" i="3"/>
  <c r="K278" i="3"/>
  <c r="L278" i="3"/>
  <c r="M278" i="3"/>
  <c r="N278" i="3"/>
  <c r="O278" i="3"/>
  <c r="A279" i="3"/>
  <c r="R279" i="3" s="1"/>
  <c r="B279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O279" i="3"/>
  <c r="A280" i="3"/>
  <c r="R280" i="3" s="1"/>
  <c r="B280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O280" i="3"/>
  <c r="A281" i="3"/>
  <c r="R281" i="3" s="1"/>
  <c r="B281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O281" i="3"/>
  <c r="A282" i="3"/>
  <c r="B282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O282" i="3"/>
  <c r="A283" i="3"/>
  <c r="R283" i="3" s="1"/>
  <c r="B283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O283" i="3"/>
  <c r="A284" i="3"/>
  <c r="R284" i="3" s="1"/>
  <c r="B284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O284" i="3"/>
  <c r="A285" i="3"/>
  <c r="R285" i="3" s="1"/>
  <c r="B285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O285" i="3"/>
  <c r="A286" i="3"/>
  <c r="R286" i="3" s="1"/>
  <c r="B286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O286" i="3"/>
  <c r="A287" i="3"/>
  <c r="R287" i="3" s="1"/>
  <c r="B287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O287" i="3"/>
  <c r="A288" i="3"/>
  <c r="R288" i="3" s="1"/>
  <c r="B288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O288" i="3"/>
  <c r="A289" i="3"/>
  <c r="R289" i="3" s="1"/>
  <c r="B289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O289" i="3"/>
  <c r="A290" i="3"/>
  <c r="B290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O290" i="3"/>
  <c r="A291" i="3"/>
  <c r="R291" i="3" s="1"/>
  <c r="B291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O291" i="3"/>
  <c r="A292" i="3"/>
  <c r="R292" i="3" s="1"/>
  <c r="B292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O292" i="3"/>
  <c r="A293" i="3"/>
  <c r="R293" i="3" s="1"/>
  <c r="B293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O293" i="3"/>
  <c r="A294" i="3"/>
  <c r="R294" i="3" s="1"/>
  <c r="B294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O294" i="3"/>
  <c r="A295" i="3"/>
  <c r="R295" i="3" s="1"/>
  <c r="B295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O295" i="3"/>
  <c r="A296" i="3"/>
  <c r="R296" i="3" s="1"/>
  <c r="B296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O296" i="3"/>
  <c r="A297" i="3"/>
  <c r="R297" i="3" s="1"/>
  <c r="B297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O297" i="3"/>
  <c r="A298" i="3"/>
  <c r="B298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O298" i="3"/>
  <c r="A299" i="3"/>
  <c r="R299" i="3" s="1"/>
  <c r="B299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O299" i="3"/>
  <c r="A300" i="3"/>
  <c r="R300" i="3" s="1"/>
  <c r="B300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O300" i="3"/>
  <c r="A301" i="3"/>
  <c r="R301" i="3" s="1"/>
  <c r="B301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O301" i="3"/>
  <c r="A302" i="3"/>
  <c r="R302" i="3" s="1"/>
  <c r="B302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O302" i="3"/>
  <c r="A303" i="3"/>
  <c r="R303" i="3" s="1"/>
  <c r="B303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O303" i="3"/>
  <c r="A304" i="3"/>
  <c r="R304" i="3" s="1"/>
  <c r="B304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O304" i="3"/>
  <c r="A305" i="3"/>
  <c r="R305" i="3" s="1"/>
  <c r="B305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O305" i="3"/>
  <c r="A306" i="3"/>
  <c r="B306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O306" i="3"/>
  <c r="A307" i="3"/>
  <c r="R307" i="3" s="1"/>
  <c r="B307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O307" i="3"/>
  <c r="A308" i="3"/>
  <c r="R308" i="3" s="1"/>
  <c r="B308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O308" i="3"/>
  <c r="A309" i="3"/>
  <c r="R309" i="3" s="1"/>
  <c r="B309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O309" i="3"/>
  <c r="A310" i="3"/>
  <c r="R310" i="3" s="1"/>
  <c r="B310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O310" i="3"/>
  <c r="A311" i="3"/>
  <c r="R311" i="3" s="1"/>
  <c r="B311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O311" i="3"/>
  <c r="A312" i="3"/>
  <c r="R312" i="3" s="1"/>
  <c r="B312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O312" i="3"/>
  <c r="A313" i="3"/>
  <c r="R313" i="3" s="1"/>
  <c r="B313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O313" i="3"/>
  <c r="A314" i="3"/>
  <c r="B314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O314" i="3"/>
  <c r="A315" i="3"/>
  <c r="R315" i="3" s="1"/>
  <c r="B315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O315" i="3"/>
  <c r="A316" i="3"/>
  <c r="R316" i="3" s="1"/>
  <c r="B316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O316" i="3"/>
  <c r="A317" i="3"/>
  <c r="R317" i="3" s="1"/>
  <c r="B317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O317" i="3"/>
  <c r="A318" i="3"/>
  <c r="R318" i="3" s="1"/>
  <c r="B318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O318" i="3"/>
  <c r="A319" i="3"/>
  <c r="R319" i="3" s="1"/>
  <c r="B319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O319" i="3"/>
  <c r="A320" i="3"/>
  <c r="R320" i="3" s="1"/>
  <c r="B320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O320" i="3"/>
  <c r="A321" i="3"/>
  <c r="R321" i="3" s="1"/>
  <c r="B321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O321" i="3"/>
  <c r="A322" i="3"/>
  <c r="B322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O322" i="3"/>
  <c r="A323" i="3"/>
  <c r="R323" i="3" s="1"/>
  <c r="B323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O323" i="3"/>
  <c r="A324" i="3"/>
  <c r="R324" i="3" s="1"/>
  <c r="B324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O324" i="3"/>
  <c r="A325" i="3"/>
  <c r="R325" i="3" s="1"/>
  <c r="B325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O325" i="3"/>
  <c r="A326" i="3"/>
  <c r="R326" i="3" s="1"/>
  <c r="B326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O326" i="3"/>
  <c r="A327" i="3"/>
  <c r="R327" i="3" s="1"/>
  <c r="B327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O327" i="3"/>
  <c r="A328" i="3"/>
  <c r="R328" i="3" s="1"/>
  <c r="B328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O328" i="3"/>
  <c r="A329" i="3"/>
  <c r="R329" i="3" s="1"/>
  <c r="B329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O329" i="3"/>
  <c r="A330" i="3"/>
  <c r="B330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O330" i="3"/>
  <c r="A331" i="3"/>
  <c r="R331" i="3" s="1"/>
  <c r="B331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O331" i="3"/>
  <c r="A332" i="3"/>
  <c r="R332" i="3" s="1"/>
  <c r="B332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O332" i="3"/>
  <c r="A333" i="3"/>
  <c r="R333" i="3" s="1"/>
  <c r="B333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O333" i="3"/>
  <c r="A334" i="3"/>
  <c r="R334" i="3" s="1"/>
  <c r="B334" i="3"/>
  <c r="C334" i="3"/>
  <c r="D334" i="3"/>
  <c r="E334" i="3"/>
  <c r="F334" i="3"/>
  <c r="G334" i="3"/>
  <c r="H334" i="3"/>
  <c r="I334" i="3"/>
  <c r="J334" i="3"/>
  <c r="K334" i="3"/>
  <c r="L334" i="3"/>
  <c r="M334" i="3"/>
  <c r="N334" i="3"/>
  <c r="O334" i="3"/>
  <c r="A335" i="3"/>
  <c r="R335" i="3" s="1"/>
  <c r="B335" i="3"/>
  <c r="C335" i="3"/>
  <c r="D335" i="3"/>
  <c r="E335" i="3"/>
  <c r="F335" i="3"/>
  <c r="G335" i="3"/>
  <c r="H335" i="3"/>
  <c r="I335" i="3"/>
  <c r="J335" i="3"/>
  <c r="K335" i="3"/>
  <c r="L335" i="3"/>
  <c r="M335" i="3"/>
  <c r="N335" i="3"/>
  <c r="O335" i="3"/>
  <c r="A336" i="3"/>
  <c r="R336" i="3" s="1"/>
  <c r="B336" i="3"/>
  <c r="C336" i="3"/>
  <c r="D336" i="3"/>
  <c r="E336" i="3"/>
  <c r="F336" i="3"/>
  <c r="G336" i="3"/>
  <c r="H336" i="3"/>
  <c r="I336" i="3"/>
  <c r="J336" i="3"/>
  <c r="K336" i="3"/>
  <c r="L336" i="3"/>
  <c r="M336" i="3"/>
  <c r="N336" i="3"/>
  <c r="O336" i="3"/>
  <c r="A337" i="3"/>
  <c r="R337" i="3" s="1"/>
  <c r="B337" i="3"/>
  <c r="C337" i="3"/>
  <c r="D337" i="3"/>
  <c r="E337" i="3"/>
  <c r="F337" i="3"/>
  <c r="G337" i="3"/>
  <c r="H337" i="3"/>
  <c r="I337" i="3"/>
  <c r="J337" i="3"/>
  <c r="K337" i="3"/>
  <c r="L337" i="3"/>
  <c r="M337" i="3"/>
  <c r="N337" i="3"/>
  <c r="O337" i="3"/>
  <c r="A338" i="3"/>
  <c r="B338" i="3"/>
  <c r="C338" i="3"/>
  <c r="D338" i="3"/>
  <c r="E338" i="3"/>
  <c r="F338" i="3"/>
  <c r="G338" i="3"/>
  <c r="H338" i="3"/>
  <c r="I338" i="3"/>
  <c r="J338" i="3"/>
  <c r="K338" i="3"/>
  <c r="L338" i="3"/>
  <c r="M338" i="3"/>
  <c r="N338" i="3"/>
  <c r="O338" i="3"/>
  <c r="A339" i="3"/>
  <c r="R339" i="3" s="1"/>
  <c r="B339" i="3"/>
  <c r="C339" i="3"/>
  <c r="D339" i="3"/>
  <c r="E339" i="3"/>
  <c r="F339" i="3"/>
  <c r="G339" i="3"/>
  <c r="H339" i="3"/>
  <c r="I339" i="3"/>
  <c r="J339" i="3"/>
  <c r="K339" i="3"/>
  <c r="L339" i="3"/>
  <c r="M339" i="3"/>
  <c r="N339" i="3"/>
  <c r="O339" i="3"/>
  <c r="A340" i="3"/>
  <c r="R340" i="3" s="1"/>
  <c r="B340" i="3"/>
  <c r="C340" i="3"/>
  <c r="D340" i="3"/>
  <c r="E340" i="3"/>
  <c r="F340" i="3"/>
  <c r="G340" i="3"/>
  <c r="H340" i="3"/>
  <c r="I340" i="3"/>
  <c r="J340" i="3"/>
  <c r="K340" i="3"/>
  <c r="L340" i="3"/>
  <c r="M340" i="3"/>
  <c r="N340" i="3"/>
  <c r="O340" i="3"/>
  <c r="A341" i="3"/>
  <c r="R341" i="3" s="1"/>
  <c r="B341" i="3"/>
  <c r="C341" i="3"/>
  <c r="D341" i="3"/>
  <c r="E341" i="3"/>
  <c r="F341" i="3"/>
  <c r="G341" i="3"/>
  <c r="H341" i="3"/>
  <c r="I341" i="3"/>
  <c r="J341" i="3"/>
  <c r="K341" i="3"/>
  <c r="L341" i="3"/>
  <c r="M341" i="3"/>
  <c r="N341" i="3"/>
  <c r="O341" i="3"/>
  <c r="A342" i="3"/>
  <c r="R342" i="3" s="1"/>
  <c r="B342" i="3"/>
  <c r="C342" i="3"/>
  <c r="D342" i="3"/>
  <c r="E342" i="3"/>
  <c r="F342" i="3"/>
  <c r="G342" i="3"/>
  <c r="H342" i="3"/>
  <c r="I342" i="3"/>
  <c r="J342" i="3"/>
  <c r="K342" i="3"/>
  <c r="L342" i="3"/>
  <c r="M342" i="3"/>
  <c r="N342" i="3"/>
  <c r="O342" i="3"/>
  <c r="A343" i="3"/>
  <c r="R343" i="3" s="1"/>
  <c r="B343" i="3"/>
  <c r="C343" i="3"/>
  <c r="D343" i="3"/>
  <c r="E343" i="3"/>
  <c r="F343" i="3"/>
  <c r="G343" i="3"/>
  <c r="H343" i="3"/>
  <c r="I343" i="3"/>
  <c r="J343" i="3"/>
  <c r="K343" i="3"/>
  <c r="L343" i="3"/>
  <c r="M343" i="3"/>
  <c r="N343" i="3"/>
  <c r="O343" i="3"/>
  <c r="A344" i="3"/>
  <c r="R344" i="3" s="1"/>
  <c r="B344" i="3"/>
  <c r="C344" i="3"/>
  <c r="D344" i="3"/>
  <c r="E344" i="3"/>
  <c r="F344" i="3"/>
  <c r="G344" i="3"/>
  <c r="H344" i="3"/>
  <c r="I344" i="3"/>
  <c r="J344" i="3"/>
  <c r="K344" i="3"/>
  <c r="L344" i="3"/>
  <c r="M344" i="3"/>
  <c r="N344" i="3"/>
  <c r="O344" i="3"/>
  <c r="A345" i="3"/>
  <c r="R345" i="3" s="1"/>
  <c r="B345" i="3"/>
  <c r="C345" i="3"/>
  <c r="D345" i="3"/>
  <c r="E345" i="3"/>
  <c r="F345" i="3"/>
  <c r="G345" i="3"/>
  <c r="H345" i="3"/>
  <c r="I345" i="3"/>
  <c r="J345" i="3"/>
  <c r="K345" i="3"/>
  <c r="L345" i="3"/>
  <c r="M345" i="3"/>
  <c r="N345" i="3"/>
  <c r="O345" i="3"/>
  <c r="A346" i="3"/>
  <c r="B346" i="3"/>
  <c r="C346" i="3"/>
  <c r="D346" i="3"/>
  <c r="E346" i="3"/>
  <c r="F346" i="3"/>
  <c r="G346" i="3"/>
  <c r="H346" i="3"/>
  <c r="I346" i="3"/>
  <c r="J346" i="3"/>
  <c r="K346" i="3"/>
  <c r="L346" i="3"/>
  <c r="M346" i="3"/>
  <c r="N346" i="3"/>
  <c r="O346" i="3"/>
  <c r="A347" i="3"/>
  <c r="R347" i="3" s="1"/>
  <c r="B347" i="3"/>
  <c r="C347" i="3"/>
  <c r="D347" i="3"/>
  <c r="E347" i="3"/>
  <c r="F347" i="3"/>
  <c r="G347" i="3"/>
  <c r="H347" i="3"/>
  <c r="I347" i="3"/>
  <c r="J347" i="3"/>
  <c r="K347" i="3"/>
  <c r="L347" i="3"/>
  <c r="M347" i="3"/>
  <c r="N347" i="3"/>
  <c r="O347" i="3"/>
  <c r="A348" i="3"/>
  <c r="R348" i="3" s="1"/>
  <c r="B348" i="3"/>
  <c r="C348" i="3"/>
  <c r="D348" i="3"/>
  <c r="E348" i="3"/>
  <c r="F348" i="3"/>
  <c r="G348" i="3"/>
  <c r="H348" i="3"/>
  <c r="I348" i="3"/>
  <c r="J348" i="3"/>
  <c r="K348" i="3"/>
  <c r="L348" i="3"/>
  <c r="M348" i="3"/>
  <c r="N348" i="3"/>
  <c r="O348" i="3"/>
  <c r="A349" i="3"/>
  <c r="R349" i="3" s="1"/>
  <c r="B349" i="3"/>
  <c r="C349" i="3"/>
  <c r="D349" i="3"/>
  <c r="E349" i="3"/>
  <c r="F349" i="3"/>
  <c r="G349" i="3"/>
  <c r="H349" i="3"/>
  <c r="I349" i="3"/>
  <c r="J349" i="3"/>
  <c r="K349" i="3"/>
  <c r="L349" i="3"/>
  <c r="M349" i="3"/>
  <c r="N349" i="3"/>
  <c r="O349" i="3"/>
  <c r="A350" i="3"/>
  <c r="R350" i="3" s="1"/>
  <c r="B350" i="3"/>
  <c r="C350" i="3"/>
  <c r="D350" i="3"/>
  <c r="E350" i="3"/>
  <c r="F350" i="3"/>
  <c r="G350" i="3"/>
  <c r="H350" i="3"/>
  <c r="I350" i="3"/>
  <c r="J350" i="3"/>
  <c r="K350" i="3"/>
  <c r="L350" i="3"/>
  <c r="M350" i="3"/>
  <c r="N350" i="3"/>
  <c r="O350" i="3"/>
  <c r="A351" i="3"/>
  <c r="R351" i="3" s="1"/>
  <c r="B351" i="3"/>
  <c r="C351" i="3"/>
  <c r="D351" i="3"/>
  <c r="E351" i="3"/>
  <c r="F351" i="3"/>
  <c r="G351" i="3"/>
  <c r="H351" i="3"/>
  <c r="I351" i="3"/>
  <c r="J351" i="3"/>
  <c r="K351" i="3"/>
  <c r="L351" i="3"/>
  <c r="M351" i="3"/>
  <c r="N351" i="3"/>
  <c r="O351" i="3"/>
  <c r="A352" i="3"/>
  <c r="R352" i="3" s="1"/>
  <c r="B352" i="3"/>
  <c r="C352" i="3"/>
  <c r="D352" i="3"/>
  <c r="E352" i="3"/>
  <c r="F352" i="3"/>
  <c r="G352" i="3"/>
  <c r="H352" i="3"/>
  <c r="I352" i="3"/>
  <c r="J352" i="3"/>
  <c r="K352" i="3"/>
  <c r="L352" i="3"/>
  <c r="M352" i="3"/>
  <c r="N352" i="3"/>
  <c r="O352" i="3"/>
  <c r="A353" i="3"/>
  <c r="R353" i="3" s="1"/>
  <c r="B353" i="3"/>
  <c r="C353" i="3"/>
  <c r="D353" i="3"/>
  <c r="E353" i="3"/>
  <c r="F353" i="3"/>
  <c r="G353" i="3"/>
  <c r="H353" i="3"/>
  <c r="I353" i="3"/>
  <c r="J353" i="3"/>
  <c r="K353" i="3"/>
  <c r="L353" i="3"/>
  <c r="M353" i="3"/>
  <c r="N353" i="3"/>
  <c r="O353" i="3"/>
  <c r="O2" i="3"/>
  <c r="M2" i="3"/>
  <c r="N2" i="3"/>
  <c r="L2" i="3"/>
  <c r="F2" i="3"/>
  <c r="G2" i="3"/>
  <c r="H2" i="3"/>
  <c r="I2" i="3"/>
  <c r="J2" i="3"/>
  <c r="K2" i="3"/>
  <c r="E2" i="3"/>
  <c r="D2" i="3"/>
  <c r="A2" i="3"/>
  <c r="C2" i="3"/>
  <c r="B2" i="3"/>
  <c r="P128" i="3" l="1"/>
  <c r="P127" i="3"/>
  <c r="P124" i="3"/>
  <c r="P114" i="3"/>
  <c r="P81" i="3"/>
  <c r="P65" i="3"/>
  <c r="P57" i="3"/>
  <c r="P49" i="3"/>
  <c r="P25" i="3"/>
  <c r="P380" i="3"/>
  <c r="P356" i="3"/>
  <c r="P348" i="3"/>
  <c r="P332" i="3"/>
  <c r="P300" i="3"/>
  <c r="P268" i="3"/>
  <c r="P252" i="3"/>
  <c r="P188" i="3"/>
  <c r="P111" i="3"/>
  <c r="P386" i="3"/>
  <c r="P378" i="3"/>
  <c r="P370" i="3"/>
  <c r="P346" i="3"/>
  <c r="P338" i="3"/>
  <c r="P330" i="3"/>
  <c r="P314" i="3"/>
  <c r="P306" i="3"/>
  <c r="P298" i="3"/>
  <c r="P290" i="3"/>
  <c r="P258" i="3"/>
  <c r="P250" i="3"/>
  <c r="P242" i="3"/>
  <c r="P234" i="3"/>
  <c r="P226" i="3"/>
  <c r="P210" i="3"/>
  <c r="P186" i="3"/>
  <c r="P178" i="3"/>
  <c r="P170" i="3"/>
  <c r="P393" i="3"/>
  <c r="P385" i="3"/>
  <c r="P377" i="3"/>
  <c r="P369" i="3"/>
  <c r="P361" i="3"/>
  <c r="P337" i="3"/>
  <c r="P321" i="3"/>
  <c r="P305" i="3"/>
  <c r="P297" i="3"/>
  <c r="P257" i="3"/>
  <c r="P241" i="3"/>
  <c r="P233" i="3"/>
  <c r="P225" i="3"/>
  <c r="P209" i="3"/>
  <c r="P201" i="3"/>
  <c r="P169" i="3"/>
  <c r="P161" i="3"/>
  <c r="P145" i="3"/>
  <c r="P137" i="3"/>
  <c r="P113" i="3"/>
  <c r="P96" i="3"/>
  <c r="P72" i="3"/>
  <c r="P56" i="3"/>
  <c r="P24" i="3"/>
  <c r="P112" i="3"/>
  <c r="P95" i="3"/>
  <c r="P87" i="3"/>
  <c r="P79" i="3"/>
  <c r="P71" i="3"/>
  <c r="P63" i="3"/>
  <c r="P55" i="3"/>
  <c r="P39" i="3"/>
  <c r="P23" i="3"/>
  <c r="P119" i="3"/>
  <c r="P102" i="3"/>
  <c r="P86" i="3"/>
  <c r="P78" i="3"/>
  <c r="P54" i="3"/>
  <c r="P38" i="3"/>
  <c r="P392" i="3"/>
  <c r="P376" i="3"/>
  <c r="P360" i="3"/>
  <c r="P344" i="3"/>
  <c r="P336" i="3"/>
  <c r="P304" i="3"/>
  <c r="P288" i="3"/>
  <c r="P272" i="3"/>
  <c r="P256" i="3"/>
  <c r="P240" i="3"/>
  <c r="P224" i="3"/>
  <c r="P200" i="3"/>
  <c r="P144" i="3"/>
  <c r="P383" i="3"/>
  <c r="P351" i="3"/>
  <c r="P327" i="3"/>
  <c r="P287" i="3"/>
  <c r="P271" i="3"/>
  <c r="P255" i="3"/>
  <c r="P231" i="3"/>
  <c r="P215" i="3"/>
  <c r="P159" i="3"/>
  <c r="P143" i="3"/>
  <c r="P390" i="3"/>
  <c r="P366" i="3"/>
  <c r="P350" i="3"/>
  <c r="P318" i="3"/>
  <c r="P278" i="3"/>
  <c r="P262" i="3"/>
  <c r="P190" i="3"/>
  <c r="P174" i="3"/>
  <c r="P109" i="3"/>
  <c r="P101" i="3"/>
  <c r="P93" i="3"/>
  <c r="P85" i="3"/>
  <c r="P53" i="3"/>
  <c r="P384" i="3"/>
  <c r="P368" i="3"/>
  <c r="P352" i="3"/>
  <c r="P312" i="3"/>
  <c r="P264" i="3"/>
  <c r="P232" i="3"/>
  <c r="P208" i="3"/>
  <c r="P192" i="3"/>
  <c r="P176" i="3"/>
  <c r="P160" i="3"/>
  <c r="P391" i="3"/>
  <c r="P375" i="3"/>
  <c r="P359" i="3"/>
  <c r="P335" i="3"/>
  <c r="P319" i="3"/>
  <c r="P311" i="3"/>
  <c r="P263" i="3"/>
  <c r="P239" i="3"/>
  <c r="P151" i="3"/>
  <c r="P382" i="3"/>
  <c r="P374" i="3"/>
  <c r="P358" i="3"/>
  <c r="P342" i="3"/>
  <c r="P334" i="3"/>
  <c r="P310" i="3"/>
  <c r="P286" i="3"/>
  <c r="P270" i="3"/>
  <c r="P254" i="3"/>
  <c r="P214" i="3"/>
  <c r="P389" i="3"/>
  <c r="P381" i="3"/>
  <c r="P373" i="3"/>
  <c r="P357" i="3"/>
  <c r="P349" i="3"/>
  <c r="P333" i="3"/>
  <c r="P309" i="3"/>
  <c r="P301" i="3"/>
  <c r="P269" i="3"/>
  <c r="P261" i="3"/>
  <c r="P253" i="3"/>
  <c r="P245" i="3"/>
  <c r="P229" i="3"/>
  <c r="P213" i="3"/>
  <c r="P197" i="3"/>
  <c r="P189" i="3"/>
  <c r="P181" i="3"/>
  <c r="P173" i="3"/>
  <c r="P149" i="3"/>
  <c r="P133" i="3"/>
  <c r="P125" i="3"/>
  <c r="P108" i="3"/>
  <c r="P100" i="3"/>
  <c r="P84" i="3"/>
  <c r="P76" i="3"/>
  <c r="P68" i="3"/>
  <c r="P44" i="3"/>
  <c r="P4" i="3"/>
  <c r="P116" i="3"/>
  <c r="P99" i="3"/>
  <c r="P43" i="3"/>
  <c r="P19" i="3"/>
  <c r="P388" i="3"/>
  <c r="P372" i="3"/>
  <c r="P340" i="3"/>
  <c r="P308" i="3"/>
  <c r="P276" i="3"/>
  <c r="P260" i="3"/>
  <c r="P244" i="3"/>
  <c r="P228" i="3"/>
  <c r="P212" i="3"/>
  <c r="P196" i="3"/>
  <c r="P156" i="3"/>
  <c r="P148" i="3"/>
  <c r="P387" i="3"/>
  <c r="P371" i="3"/>
  <c r="P363" i="3"/>
  <c r="P355" i="3"/>
  <c r="P347" i="3"/>
  <c r="P339" i="3"/>
  <c r="P331" i="3"/>
  <c r="P315" i="3"/>
  <c r="P307" i="3"/>
  <c r="P299" i="3"/>
  <c r="P291" i="3"/>
  <c r="P267" i="3"/>
  <c r="P259" i="3"/>
  <c r="P219" i="3"/>
  <c r="P203" i="3"/>
  <c r="P187" i="3"/>
  <c r="P179" i="3"/>
  <c r="P171" i="3"/>
  <c r="P147" i="3"/>
  <c r="P139" i="3"/>
  <c r="P131" i="3"/>
  <c r="P98" i="3"/>
  <c r="P82" i="3"/>
  <c r="P58" i="3"/>
  <c r="P42" i="3"/>
  <c r="P34" i="3"/>
  <c r="Q372" i="3"/>
  <c r="Q352" i="3"/>
  <c r="Q344" i="3"/>
  <c r="Q336" i="3"/>
  <c r="Q329" i="3"/>
  <c r="Q321" i="3"/>
  <c r="Q313" i="3"/>
  <c r="Q305" i="3"/>
  <c r="Q297" i="3"/>
  <c r="Q289" i="3"/>
  <c r="Q281" i="3"/>
  <c r="Q274" i="3"/>
  <c r="Q258" i="3"/>
  <c r="Q242" i="3"/>
  <c r="Q218" i="3"/>
  <c r="Q186" i="3"/>
  <c r="Q154" i="3"/>
  <c r="Q138" i="3"/>
  <c r="Q122" i="3"/>
  <c r="Q98" i="3"/>
  <c r="Q90" i="3"/>
  <c r="Q74" i="3"/>
  <c r="Q42" i="3"/>
  <c r="Q361" i="3"/>
  <c r="Q384" i="3"/>
  <c r="Q66" i="3"/>
  <c r="Q345" i="3"/>
  <c r="Q314" i="3"/>
  <c r="Q282" i="3"/>
  <c r="Q267" i="3"/>
  <c r="Q251" i="3"/>
  <c r="Q235" i="3"/>
  <c r="Q219" i="3"/>
  <c r="Q195" i="3"/>
  <c r="Q179" i="3"/>
  <c r="Q163" i="3"/>
  <c r="Q147" i="3"/>
  <c r="Q131" i="3"/>
  <c r="Q115" i="3"/>
  <c r="Q99" i="3"/>
  <c r="Q83" i="3"/>
  <c r="Q75" i="3"/>
  <c r="Q59" i="3"/>
  <c r="Q51" i="3"/>
  <c r="Q43" i="3"/>
  <c r="Q35" i="3"/>
  <c r="Q27" i="3"/>
  <c r="Q11" i="3"/>
  <c r="Q3" i="3"/>
  <c r="Q362" i="3"/>
  <c r="Q354" i="3"/>
  <c r="Q375" i="3"/>
  <c r="Q393" i="3"/>
  <c r="Q340" i="3"/>
  <c r="Q299" i="3"/>
  <c r="Q291" i="3"/>
  <c r="Q244" i="3"/>
  <c r="Q212" i="3"/>
  <c r="Q204" i="3"/>
  <c r="Q196" i="3"/>
  <c r="Q180" i="3"/>
  <c r="Q172" i="3"/>
  <c r="Q164" i="3"/>
  <c r="Q148" i="3"/>
  <c r="Q140" i="3"/>
  <c r="Q132" i="3"/>
  <c r="Q124" i="3"/>
  <c r="Q116" i="3"/>
  <c r="Q108" i="3"/>
  <c r="Q100" i="3"/>
  <c r="Q92" i="3"/>
  <c r="Q84" i="3"/>
  <c r="Q76" i="3"/>
  <c r="Q68" i="3"/>
  <c r="Q60" i="3"/>
  <c r="Q52" i="3"/>
  <c r="Q44" i="3"/>
  <c r="Q36" i="3"/>
  <c r="Q28" i="3"/>
  <c r="Q20" i="3"/>
  <c r="Q12" i="3"/>
  <c r="Q4" i="3"/>
  <c r="Q363" i="3"/>
  <c r="Q376" i="3"/>
  <c r="Q386" i="3"/>
  <c r="Q266" i="3"/>
  <c r="Q278" i="3"/>
  <c r="Q323" i="3"/>
  <c r="Q268" i="3"/>
  <c r="Q332" i="3"/>
  <c r="Q316" i="3"/>
  <c r="Q269" i="3"/>
  <c r="Q261" i="3"/>
  <c r="Q253" i="3"/>
  <c r="Q245" i="3"/>
  <c r="Q237" i="3"/>
  <c r="Q229" i="3"/>
  <c r="Q221" i="3"/>
  <c r="Q213" i="3"/>
  <c r="Q205" i="3"/>
  <c r="Q197" i="3"/>
  <c r="Q189" i="3"/>
  <c r="Q181" i="3"/>
  <c r="Q173" i="3"/>
  <c r="Q165" i="3"/>
  <c r="Q157" i="3"/>
  <c r="Q149" i="3"/>
  <c r="Q141" i="3"/>
  <c r="Q133" i="3"/>
  <c r="Q125" i="3"/>
  <c r="Q117" i="3"/>
  <c r="Q109" i="3"/>
  <c r="Q101" i="3"/>
  <c r="Q93" i="3"/>
  <c r="Q85" i="3"/>
  <c r="Q77" i="3"/>
  <c r="Q364" i="3"/>
  <c r="Q377" i="3"/>
  <c r="Q389" i="3"/>
  <c r="Q234" i="3"/>
  <c r="Q374" i="3"/>
  <c r="Q338" i="3"/>
  <c r="Q307" i="3"/>
  <c r="Q283" i="3"/>
  <c r="Q228" i="3"/>
  <c r="Q347" i="3"/>
  <c r="Q300" i="3"/>
  <c r="Q277" i="3"/>
  <c r="Q325" i="3"/>
  <c r="Q301" i="3"/>
  <c r="Q293" i="3"/>
  <c r="Q285" i="3"/>
  <c r="Q270" i="3"/>
  <c r="Q262" i="3"/>
  <c r="Q254" i="3"/>
  <c r="Q246" i="3"/>
  <c r="Q238" i="3"/>
  <c r="Q230" i="3"/>
  <c r="Q222" i="3"/>
  <c r="Q214" i="3"/>
  <c r="Q206" i="3"/>
  <c r="Q198" i="3"/>
  <c r="Q190" i="3"/>
  <c r="Q182" i="3"/>
  <c r="Q174" i="3"/>
  <c r="Q166" i="3"/>
  <c r="Q158" i="3"/>
  <c r="Q150" i="3"/>
  <c r="Q142" i="3"/>
  <c r="Q134" i="3"/>
  <c r="Q126" i="3"/>
  <c r="Q118" i="3"/>
  <c r="Q110" i="3"/>
  <c r="Q102" i="3"/>
  <c r="Q94" i="3"/>
  <c r="Q86" i="3"/>
  <c r="Q78" i="3"/>
  <c r="Q70" i="3"/>
  <c r="Q62" i="3"/>
  <c r="Q54" i="3"/>
  <c r="Q46" i="3"/>
  <c r="Q38" i="3"/>
  <c r="Q30" i="3"/>
  <c r="Q22" i="3"/>
  <c r="Q14" i="3"/>
  <c r="Q6" i="3"/>
  <c r="Q365" i="3"/>
  <c r="Q357" i="3"/>
  <c r="Q378" i="3"/>
  <c r="Q370" i="3"/>
  <c r="Q390" i="3"/>
  <c r="Q202" i="3"/>
  <c r="Q306" i="3"/>
  <c r="Q275" i="3"/>
  <c r="Q259" i="3"/>
  <c r="Q243" i="3"/>
  <c r="Q227" i="3"/>
  <c r="Q211" i="3"/>
  <c r="Q203" i="3"/>
  <c r="Q187" i="3"/>
  <c r="Q171" i="3"/>
  <c r="Q155" i="3"/>
  <c r="Q139" i="3"/>
  <c r="Q123" i="3"/>
  <c r="Q107" i="3"/>
  <c r="Q91" i="3"/>
  <c r="Q67" i="3"/>
  <c r="Q19" i="3"/>
  <c r="Q346" i="3"/>
  <c r="Q331" i="3"/>
  <c r="Q315" i="3"/>
  <c r="Q276" i="3"/>
  <c r="Q236" i="3"/>
  <c r="Q308" i="3"/>
  <c r="Q284" i="3"/>
  <c r="Q348" i="3"/>
  <c r="Q333" i="3"/>
  <c r="Q317" i="3"/>
  <c r="Q309" i="3"/>
  <c r="Q349" i="3"/>
  <c r="Q341" i="3"/>
  <c r="Q334" i="3"/>
  <c r="Q326" i="3"/>
  <c r="Q318" i="3"/>
  <c r="Q310" i="3"/>
  <c r="Q302" i="3"/>
  <c r="Q294" i="3"/>
  <c r="Q286" i="3"/>
  <c r="Q358" i="3"/>
  <c r="Q379" i="3"/>
  <c r="Q391" i="3"/>
  <c r="Q170" i="3"/>
  <c r="Q130" i="3"/>
  <c r="Q330" i="3"/>
  <c r="Q342" i="3"/>
  <c r="Q327" i="3"/>
  <c r="Q319" i="3"/>
  <c r="Q311" i="3"/>
  <c r="Q303" i="3"/>
  <c r="Q295" i="3"/>
  <c r="Q272" i="3"/>
  <c r="Q264" i="3"/>
  <c r="Q256" i="3"/>
  <c r="Q248" i="3"/>
  <c r="Q240" i="3"/>
  <c r="Q367" i="3"/>
  <c r="Q359" i="3"/>
  <c r="Q380" i="3"/>
  <c r="Q392" i="3"/>
  <c r="Q2" i="3"/>
  <c r="Q351" i="3"/>
  <c r="Q343" i="3"/>
  <c r="Q335" i="3"/>
  <c r="Q328" i="3"/>
  <c r="Q320" i="3"/>
  <c r="Q312" i="3"/>
  <c r="Q304" i="3"/>
  <c r="Q296" i="3"/>
  <c r="Q288" i="3"/>
  <c r="Q280" i="3"/>
  <c r="Q273" i="3"/>
  <c r="Q265" i="3"/>
  <c r="Q257" i="3"/>
  <c r="Q249" i="3"/>
  <c r="Q241" i="3"/>
  <c r="Q233" i="3"/>
  <c r="Q225" i="3"/>
  <c r="Q217" i="3"/>
  <c r="Q209" i="3"/>
  <c r="Q201" i="3"/>
  <c r="Q193" i="3"/>
  <c r="Q185" i="3"/>
  <c r="Q177" i="3"/>
  <c r="Q169" i="3"/>
  <c r="Q161" i="3"/>
  <c r="Q153" i="3"/>
  <c r="Q137" i="3"/>
  <c r="Q129" i="3"/>
  <c r="Q121" i="3"/>
  <c r="Q113" i="3"/>
  <c r="Q105" i="3"/>
  <c r="Q97" i="3"/>
  <c r="Q89" i="3"/>
  <c r="Q81" i="3"/>
  <c r="Q73" i="3"/>
  <c r="Q65" i="3"/>
  <c r="Q57" i="3"/>
  <c r="Q49" i="3"/>
  <c r="Q41" i="3"/>
  <c r="Q33" i="3"/>
  <c r="Q25" i="3"/>
  <c r="Q17" i="3"/>
  <c r="Q9" i="3"/>
  <c r="Q368" i="3"/>
  <c r="Q360" i="3"/>
  <c r="Q381" i="3"/>
  <c r="Q373" i="3"/>
  <c r="Q383" i="3"/>
  <c r="Q388" i="3"/>
  <c r="Q61" i="3"/>
  <c r="Q29" i="3"/>
  <c r="Q13" i="3"/>
  <c r="Q356" i="3"/>
  <c r="Q324" i="3"/>
  <c r="Q298" i="3"/>
  <c r="E9" i="5"/>
  <c r="Q387" i="3"/>
  <c r="Q371" i="3"/>
  <c r="Q355" i="3"/>
  <c r="Q339" i="3"/>
  <c r="Q322" i="3"/>
  <c r="Q292" i="3"/>
  <c r="Q260" i="3"/>
  <c r="Q58" i="3"/>
  <c r="Q69" i="3"/>
  <c r="Q53" i="3"/>
  <c r="Q45" i="3"/>
  <c r="Q5" i="3"/>
  <c r="E37" i="5"/>
  <c r="Q271" i="3"/>
  <c r="Q263" i="3"/>
  <c r="Q255" i="3"/>
  <c r="Q247" i="3"/>
  <c r="Q239" i="3"/>
  <c r="Q231" i="3"/>
  <c r="Q223" i="3"/>
  <c r="Q215" i="3"/>
  <c r="Q207" i="3"/>
  <c r="Q199" i="3"/>
  <c r="Q191" i="3"/>
  <c r="Q183" i="3"/>
  <c r="Q175" i="3"/>
  <c r="Q167" i="3"/>
  <c r="Q159" i="3"/>
  <c r="Q151" i="3"/>
  <c r="Q143" i="3"/>
  <c r="Q135" i="3"/>
  <c r="Q127" i="3"/>
  <c r="Q119" i="3"/>
  <c r="Q103" i="3"/>
  <c r="Q95" i="3"/>
  <c r="Q87" i="3"/>
  <c r="Q79" i="3"/>
  <c r="Q71" i="3"/>
  <c r="Q63" i="3"/>
  <c r="Q55" i="3"/>
  <c r="Q47" i="3"/>
  <c r="Q39" i="3"/>
  <c r="Q31" i="3"/>
  <c r="Q23" i="3"/>
  <c r="Q15" i="3"/>
  <c r="Q7" i="3"/>
  <c r="Q385" i="3"/>
  <c r="Q369" i="3"/>
  <c r="Q353" i="3"/>
  <c r="Q337" i="3"/>
  <c r="Q290" i="3"/>
  <c r="Q226" i="3"/>
  <c r="Q194" i="3"/>
  <c r="Q162" i="3"/>
  <c r="Q114" i="3"/>
  <c r="Q50" i="3"/>
  <c r="Q37" i="3"/>
  <c r="Q21" i="3"/>
  <c r="Q287" i="3"/>
  <c r="Q279" i="3"/>
  <c r="Q232" i="3"/>
  <c r="Q224" i="3"/>
  <c r="Q216" i="3"/>
  <c r="Q208" i="3"/>
  <c r="Q200" i="3"/>
  <c r="Q192" i="3"/>
  <c r="Q184" i="3"/>
  <c r="Q176" i="3"/>
  <c r="Q168" i="3"/>
  <c r="Q160" i="3"/>
  <c r="Q152" i="3"/>
  <c r="Q144" i="3"/>
  <c r="Q136" i="3"/>
  <c r="Q128" i="3"/>
  <c r="Q120" i="3"/>
  <c r="Q112" i="3"/>
  <c r="Q104" i="3"/>
  <c r="Q96" i="3"/>
  <c r="Q88" i="3"/>
  <c r="Q80" i="3"/>
  <c r="Q72" i="3"/>
  <c r="Q64" i="3"/>
  <c r="Q56" i="3"/>
  <c r="Q48" i="3"/>
  <c r="Q40" i="3"/>
  <c r="Q32" i="3"/>
  <c r="Q24" i="3"/>
  <c r="Q16" i="3"/>
  <c r="Q8" i="3"/>
  <c r="Q382" i="3"/>
  <c r="Q366" i="3"/>
  <c r="Q350" i="3"/>
  <c r="Q252" i="3"/>
  <c r="Q220" i="3"/>
  <c r="Q188" i="3"/>
  <c r="Q156" i="3"/>
  <c r="Q106" i="3"/>
  <c r="Q250" i="3"/>
  <c r="Q34" i="3"/>
  <c r="E12" i="5"/>
  <c r="Q145" i="3"/>
  <c r="E43" i="5"/>
  <c r="Q26" i="3"/>
  <c r="E42" i="5"/>
  <c r="Q210" i="3"/>
  <c r="Q178" i="3"/>
  <c r="Q146" i="3"/>
  <c r="Q82" i="3"/>
  <c r="Q18" i="3"/>
  <c r="E38" i="5"/>
  <c r="Q10" i="3"/>
  <c r="E28" i="5"/>
  <c r="E19" i="5"/>
  <c r="E11" i="5"/>
  <c r="E36" i="5"/>
  <c r="E27" i="5"/>
  <c r="E18" i="5"/>
  <c r="E10" i="5"/>
  <c r="E35" i="5"/>
  <c r="E26" i="5"/>
  <c r="E17" i="5"/>
  <c r="E34" i="5"/>
  <c r="E25" i="5"/>
  <c r="E16" i="5"/>
  <c r="E8" i="5"/>
  <c r="E41" i="5"/>
  <c r="E32" i="5"/>
  <c r="E24" i="5"/>
  <c r="E15" i="5"/>
  <c r="E7" i="5"/>
  <c r="E33" i="5"/>
  <c r="E40" i="5"/>
  <c r="E31" i="5"/>
  <c r="E22" i="5"/>
  <c r="E14" i="5"/>
  <c r="E6" i="5"/>
  <c r="E39" i="5"/>
  <c r="E30" i="5"/>
  <c r="E21" i="5"/>
  <c r="E13" i="5"/>
  <c r="E5" i="5"/>
  <c r="E29" i="5"/>
  <c r="E20" i="5"/>
  <c r="D44" i="5"/>
  <c r="E23" i="5"/>
</calcChain>
</file>

<file path=xl/sharedStrings.xml><?xml version="1.0" encoding="utf-8"?>
<sst xmlns="http://schemas.openxmlformats.org/spreadsheetml/2006/main" count="3717" uniqueCount="749">
  <si>
    <t>装備ID</t>
  </si>
  <si>
    <t>図鑑番号</t>
  </si>
  <si>
    <t>装備種</t>
  </si>
  <si>
    <t>装備名</t>
  </si>
  <si>
    <t>大分類</t>
  </si>
  <si>
    <t>図鑑カテゴリID</t>
  </si>
  <si>
    <t>カテゴリID</t>
  </si>
  <si>
    <t>アイコンID</t>
  </si>
  <si>
    <t>航空機グラフィックID</t>
  </si>
  <si>
    <t>火力</t>
  </si>
  <si>
    <t>雷装</t>
  </si>
  <si>
    <t>対空</t>
  </si>
  <si>
    <t>装甲</t>
  </si>
  <si>
    <t>対潜</t>
  </si>
  <si>
    <t>回避</t>
  </si>
  <si>
    <t>索敵</t>
  </si>
  <si>
    <t>運</t>
  </si>
  <si>
    <t>命中</t>
  </si>
  <si>
    <t>爆装</t>
  </si>
  <si>
    <t>射程</t>
  </si>
  <si>
    <t>レア</t>
  </si>
  <si>
    <t>廃棄燃料</t>
  </si>
  <si>
    <t>廃棄弾薬</t>
  </si>
  <si>
    <t>廃棄鋼材</t>
  </si>
  <si>
    <t>廃棄ボーキ</t>
  </si>
  <si>
    <t>図鑑文章</t>
  </si>
  <si>
    <t>戦闘行動半径</t>
  </si>
  <si>
    <t>配置コスト</t>
  </si>
  <si>
    <t>小口径主砲</t>
  </si>
  <si>
    <t>12cm単装砲</t>
  </si>
  <si>
    <t>短</t>
  </si>
  <si>
    <t>コモン</t>
  </si>
  <si>
    <t>12.7cm連装砲</t>
  </si>
  <si>
    <t>10cm連装高角砲</t>
  </si>
  <si>
    <t>中口径主砲</t>
  </si>
  <si>
    <t>14cm単装砲</t>
  </si>
  <si>
    <t>中</t>
  </si>
  <si>
    <t>15.5cm三連装砲</t>
  </si>
  <si>
    <t>20.3cm連装砲</t>
  </si>
  <si>
    <t>大口径主砲</t>
  </si>
  <si>
    <t>35.6cm連装砲</t>
  </si>
  <si>
    <t>長</t>
  </si>
  <si>
    <t>41cm連装砲</t>
  </si>
  <si>
    <t>46cm三連装砲</t>
  </si>
  <si>
    <t>超長</t>
  </si>
  <si>
    <t>ホロ</t>
  </si>
  <si>
    <t>副砲</t>
  </si>
  <si>
    <t>12.7cm連装高角砲</t>
  </si>
  <si>
    <t>15.2cm単装砲</t>
  </si>
  <si>
    <t>15.5cm三連装副砲</t>
  </si>
  <si>
    <t>魚雷</t>
  </si>
  <si>
    <t>61cm三連装魚雷</t>
  </si>
  <si>
    <t>61cm四連装魚雷</t>
  </si>
  <si>
    <t>61cm四連装(酸素)魚雷</t>
  </si>
  <si>
    <t>艦上攻撃機</t>
  </si>
  <si>
    <t>九七式艦攻</t>
  </si>
  <si>
    <t>無</t>
  </si>
  <si>
    <t>天山</t>
  </si>
  <si>
    <t>流星</t>
  </si>
  <si>
    <t>艦上戦闘機</t>
  </si>
  <si>
    <t>九六式艦戦</t>
  </si>
  <si>
    <t>零式艦戦21型</t>
  </si>
  <si>
    <t>零式艦戦52型</t>
  </si>
  <si>
    <t>試製烈風 後期型</t>
  </si>
  <si>
    <t>Sホロ</t>
  </si>
  <si>
    <t>艦上爆撃機</t>
  </si>
  <si>
    <t>九九式艦爆</t>
  </si>
  <si>
    <t>彗星</t>
  </si>
  <si>
    <t>水上偵察機</t>
  </si>
  <si>
    <t>零式水上偵察機</t>
  </si>
  <si>
    <t>水上爆撃機</t>
  </si>
  <si>
    <t>瑞雲</t>
  </si>
  <si>
    <t>小型電探</t>
  </si>
  <si>
    <t>13号対空電探</t>
  </si>
  <si>
    <t>22号対水上電探</t>
  </si>
  <si>
    <t>33号対水上電探</t>
  </si>
  <si>
    <t>大型電探</t>
  </si>
  <si>
    <t>21号対空電探</t>
  </si>
  <si>
    <t>32号対水上電探</t>
  </si>
  <si>
    <t>42号対空電探</t>
  </si>
  <si>
    <t>SSホロ</t>
  </si>
  <si>
    <t>機関部強化</t>
  </si>
  <si>
    <t>改良型艦本式タービン</t>
  </si>
  <si>
    <t>強化型艦本式缶</t>
  </si>
  <si>
    <t>対空強化弾</t>
  </si>
  <si>
    <t>三式弾</t>
  </si>
  <si>
    <t>対艦強化弾</t>
  </si>
  <si>
    <t>九一式徹甲弾</t>
  </si>
  <si>
    <t>対空機銃</t>
  </si>
  <si>
    <t>7.7mm機銃</t>
  </si>
  <si>
    <t>12.7mm単装機銃</t>
  </si>
  <si>
    <t>25mm連装機銃</t>
  </si>
  <si>
    <t>25mm三連装機銃</t>
  </si>
  <si>
    <t>特殊潜航艇</t>
  </si>
  <si>
    <t>甲標的 甲型</t>
  </si>
  <si>
    <t>応急修理要員</t>
  </si>
  <si>
    <t>応急修理女神</t>
  </si>
  <si>
    <t>爆雷</t>
  </si>
  <si>
    <t>九四式爆雷投射機</t>
  </si>
  <si>
    <t>三式爆雷投射機</t>
  </si>
  <si>
    <t>ソナー</t>
  </si>
  <si>
    <t>九三式水中聴音機</t>
  </si>
  <si>
    <t>三式水中探信儀</t>
  </si>
  <si>
    <t>12cm単装高角砲</t>
  </si>
  <si>
    <t>25mm単装機銃</t>
  </si>
  <si>
    <t>20.3cm(3号)連装砲</t>
  </si>
  <si>
    <t>12cm30連装噴進砲</t>
  </si>
  <si>
    <t>流星改</t>
  </si>
  <si>
    <t>烈風 一一型</t>
  </si>
  <si>
    <t>艦上偵察機</t>
  </si>
  <si>
    <t>彩雲</t>
  </si>
  <si>
    <t>紫電改二</t>
  </si>
  <si>
    <t>震電改</t>
  </si>
  <si>
    <t>SSホロ'</t>
  </si>
  <si>
    <t>彗星一二型甲</t>
  </si>
  <si>
    <t>61cm五連装(酸素)魚雷</t>
  </si>
  <si>
    <t>零式水上観測機</t>
  </si>
  <si>
    <t>零式艦戦62型(爆戦)</t>
  </si>
  <si>
    <t>二式艦上偵察機</t>
  </si>
  <si>
    <t>試製晴嵐</t>
  </si>
  <si>
    <t>12.7cm連装砲B型改二</t>
  </si>
  <si>
    <t>Ju87C改</t>
  </si>
  <si>
    <t>15.2cm連装砲</t>
  </si>
  <si>
    <t>8cm高角砲</t>
  </si>
  <si>
    <t>53cm艦首(酸素)魚雷</t>
  </si>
  <si>
    <t>上陸用舟艇</t>
  </si>
  <si>
    <t>大発動艇</t>
  </si>
  <si>
    <t>オートジャイロ</t>
  </si>
  <si>
    <t>カ号観測機</t>
  </si>
  <si>
    <t>対潜哨戒機</t>
  </si>
  <si>
    <t>三式指揮連絡機(対潜)</t>
  </si>
  <si>
    <t>10cm連装高角砲(砲架)</t>
  </si>
  <si>
    <t>追加装甲(中型)</t>
  </si>
  <si>
    <t>増設バルジ(中型艦)</t>
  </si>
  <si>
    <t>追加装甲(大型)</t>
  </si>
  <si>
    <t>増設バルジ(大型艦)</t>
  </si>
  <si>
    <t>探照灯</t>
  </si>
  <si>
    <t>簡易輸送部材</t>
  </si>
  <si>
    <t>ドラム缶(輸送用)</t>
  </si>
  <si>
    <t>38cm連装砲</t>
  </si>
  <si>
    <t>15cm連装副砲</t>
  </si>
  <si>
    <t>12.7cm単装砲</t>
  </si>
  <si>
    <t>瑞雲(六三四空)</t>
  </si>
  <si>
    <t>瑞雲12型</t>
  </si>
  <si>
    <t>瑞雲12型(六三四空)</t>
  </si>
  <si>
    <t>九七式艦攻(九三一空)</t>
  </si>
  <si>
    <t>天山(九三一空)</t>
  </si>
  <si>
    <t>2cm 四連装FlaK 38</t>
  </si>
  <si>
    <t>3.7cm FlaK M42</t>
  </si>
  <si>
    <t>艦艇修理施設</t>
  </si>
  <si>
    <t>新型高温高圧缶</t>
  </si>
  <si>
    <t>22号対水上電探改四</t>
  </si>
  <si>
    <t>21号対空電探改</t>
  </si>
  <si>
    <t>20.3cm(2号)連装砲</t>
  </si>
  <si>
    <t>12.7cm連装高角砲(後期型)</t>
  </si>
  <si>
    <t>毘式40mm連装機銃</t>
  </si>
  <si>
    <t>九七式艦攻(友永隊)</t>
  </si>
  <si>
    <t>天山一二型(友永隊)</t>
  </si>
  <si>
    <t>潜水艦魚雷</t>
  </si>
  <si>
    <t>潜水艦53cm艦首魚雷(8門)</t>
  </si>
  <si>
    <t>零式艦戦21型(熟練)</t>
  </si>
  <si>
    <t>九九式艦爆(熟練)</t>
  </si>
  <si>
    <t>九七式艦攻(熟練)</t>
  </si>
  <si>
    <t>九九式艦爆(江草隊)</t>
  </si>
  <si>
    <t>彗星(江草隊)</t>
  </si>
  <si>
    <t>照明弾</t>
  </si>
  <si>
    <t>九八式水上偵察機(夜偵)</t>
  </si>
  <si>
    <t>試製35.6cm三連装砲</t>
  </si>
  <si>
    <t>35.6cm連装砲(ダズル迷彩)</t>
  </si>
  <si>
    <t>試製41cm三連装砲</t>
  </si>
  <si>
    <t>13号対空電探改</t>
  </si>
  <si>
    <t>司令部施設</t>
  </si>
  <si>
    <t>艦隊司令部施設</t>
  </si>
  <si>
    <t>航空要員</t>
  </si>
  <si>
    <t>熟練艦載機整備員</t>
  </si>
  <si>
    <t>零戦52型丙(六〇一空)</t>
  </si>
  <si>
    <t>烈風(六〇一空)</t>
  </si>
  <si>
    <t>彗星(六〇一空)</t>
  </si>
  <si>
    <t>天山(六〇一空)</t>
  </si>
  <si>
    <t>流星(六〇一空)</t>
  </si>
  <si>
    <t>38cm連装砲改</t>
  </si>
  <si>
    <t>Ar196改</t>
  </si>
  <si>
    <t>一式徹甲弾</t>
  </si>
  <si>
    <t>試製46cm連装砲</t>
  </si>
  <si>
    <t>紫雲</t>
  </si>
  <si>
    <t>14cm連装砲</t>
  </si>
  <si>
    <t>高射装置</t>
  </si>
  <si>
    <t>91式高射装置</t>
  </si>
  <si>
    <t>94式高射装置</t>
  </si>
  <si>
    <t>10cm連装高角砲+高射装置</t>
  </si>
  <si>
    <t>SKC34 20.3cm連装砲</t>
  </si>
  <si>
    <t>FuMO25 レーダー</t>
  </si>
  <si>
    <t>61cm三連装(酸素)魚雷</t>
  </si>
  <si>
    <t>対地装備</t>
  </si>
  <si>
    <t>WG42 (Wurfgerat 42)</t>
  </si>
  <si>
    <t>試製FaT仕様九五式酸素魚雷改</t>
  </si>
  <si>
    <t>試製51cm連装砲</t>
  </si>
  <si>
    <t>水上艦要員</t>
  </si>
  <si>
    <t>熟練見張員</t>
  </si>
  <si>
    <t>12.7cm高角砲+高射装置</t>
  </si>
  <si>
    <t>25mm三連装機銃 集中配備</t>
  </si>
  <si>
    <t>大型ソナー</t>
  </si>
  <si>
    <t>零式水中聴音機</t>
  </si>
  <si>
    <t>381mm/50 三連装砲</t>
  </si>
  <si>
    <t>OTO 152mm三連装速射砲</t>
  </si>
  <si>
    <t>90mm単装高角砲</t>
  </si>
  <si>
    <t>プリエーゼ式水中防御隔壁</t>
  </si>
  <si>
    <t>381mm/50 三連装砲改</t>
  </si>
  <si>
    <t>大型飛行艇</t>
  </si>
  <si>
    <t>二式大艇</t>
  </si>
  <si>
    <t>15.2cm連装砲改</t>
  </si>
  <si>
    <t>大型探照灯</t>
  </si>
  <si>
    <t>96式150cm探照灯</t>
  </si>
  <si>
    <t>32号対水上電探改</t>
  </si>
  <si>
    <t>15m二重測距儀+21号電探改二</t>
  </si>
  <si>
    <t>九七式艦攻(村田隊)</t>
  </si>
  <si>
    <t>天山一二型(村田隊)</t>
  </si>
  <si>
    <t>戦闘糧食</t>
  </si>
  <si>
    <t>補給物資</t>
  </si>
  <si>
    <t>洋上補給</t>
  </si>
  <si>
    <t>120mm/50 連装砲</t>
  </si>
  <si>
    <t>試製南山</t>
  </si>
  <si>
    <t>四式水中聴音機</t>
  </si>
  <si>
    <t>秋刀魚の缶詰</t>
  </si>
  <si>
    <t>試製景雲(艦偵型)</t>
  </si>
  <si>
    <t>零式艦戦52型(熟練)</t>
  </si>
  <si>
    <t>零戦52型丙(付岩井小隊)</t>
  </si>
  <si>
    <t>零戦62型(爆戦/岩井隊)</t>
  </si>
  <si>
    <t>零戦21型(付岩本小隊)</t>
  </si>
  <si>
    <t>零戦52型甲(付岩本小隊)</t>
  </si>
  <si>
    <t>零式艦戦53型(岩本隊)</t>
  </si>
  <si>
    <t>Bf109T改</t>
  </si>
  <si>
    <t>Fw190T改</t>
  </si>
  <si>
    <t>10.5cm連装砲</t>
  </si>
  <si>
    <t>16inch三連装砲 Mk.7</t>
  </si>
  <si>
    <t>203mm/53 連装砲</t>
  </si>
  <si>
    <t>Ro.43水偵</t>
  </si>
  <si>
    <t>水上戦闘機</t>
  </si>
  <si>
    <t>Ro.44水上戦闘機</t>
  </si>
  <si>
    <t>二式水戦改</t>
  </si>
  <si>
    <t>大発動艇(八九式中戦車&amp;陸戦隊)</t>
  </si>
  <si>
    <t>特型内火艇</t>
  </si>
  <si>
    <t>特二式内火艇</t>
  </si>
  <si>
    <t>陸上攻撃機</t>
  </si>
  <si>
    <t>九六式陸攻</t>
  </si>
  <si>
    <t>一式陸攻</t>
  </si>
  <si>
    <t>一式陸攻(野中隊)</t>
  </si>
  <si>
    <t>OS2U</t>
  </si>
  <si>
    <t>5inch連装砲 Mk.28 mod.2</t>
  </si>
  <si>
    <t>Bofors 40mm四連装機関砲</t>
  </si>
  <si>
    <t>53cm連装魚雷</t>
  </si>
  <si>
    <t>局地戦闘機</t>
  </si>
  <si>
    <t>雷電</t>
  </si>
  <si>
    <t>三式戦 飛燕</t>
  </si>
  <si>
    <t>三式戦 飛燕(飛行第244戦隊)</t>
  </si>
  <si>
    <t>PBY-5A Catalina</t>
  </si>
  <si>
    <t>試製61cm六連装(酸素)魚雷</t>
  </si>
  <si>
    <t>一式陸攻 二二型甲</t>
  </si>
  <si>
    <t>零式艦戦32型</t>
  </si>
  <si>
    <t>零式艦戦32型(熟練)</t>
  </si>
  <si>
    <t>16inch三連装砲 Mk.7+GFCS</t>
  </si>
  <si>
    <t>SSホロ+</t>
  </si>
  <si>
    <t>Re.2001 OR改</t>
  </si>
  <si>
    <t>三式戦 飛燕一型丁</t>
  </si>
  <si>
    <t>一式陸攻 三四型</t>
  </si>
  <si>
    <t>銀河</t>
  </si>
  <si>
    <t>Re.2001 G改</t>
  </si>
  <si>
    <t>Re.2005 改</t>
  </si>
  <si>
    <t>38.1cm Mk.I連装砲</t>
  </si>
  <si>
    <t>QF 2ポンド8連装ポンポン砲</t>
  </si>
  <si>
    <t>38.1cm Mk.I/N連装砲改</t>
  </si>
  <si>
    <t>特大発動艇</t>
  </si>
  <si>
    <t>Late 298B</t>
  </si>
  <si>
    <t>SBD</t>
  </si>
  <si>
    <t>TBD</t>
  </si>
  <si>
    <t>F4F-3</t>
  </si>
  <si>
    <t>F4F-4</t>
  </si>
  <si>
    <t>噴式戦闘爆撃機</t>
  </si>
  <si>
    <t>噴式景雲改</t>
  </si>
  <si>
    <t>橘花改</t>
  </si>
  <si>
    <t>紫電一一型</t>
  </si>
  <si>
    <t>紫電二一型 紫電改</t>
  </si>
  <si>
    <t>艦本新設計 増設バルジ(中型艦)</t>
  </si>
  <si>
    <t>艦本新設計 増設バルジ(大型艦)</t>
  </si>
  <si>
    <t>F6F-3</t>
  </si>
  <si>
    <t>F6F-5</t>
  </si>
  <si>
    <t>瑞雲(六三一空)</t>
  </si>
  <si>
    <t>晴嵐(六三一空)</t>
  </si>
  <si>
    <t>輸送機材</t>
  </si>
  <si>
    <t>彩雲(輸送用分解済)</t>
  </si>
  <si>
    <t>潜水艦装備</t>
  </si>
  <si>
    <t>潜水艦搭載電探&amp;水防式望遠鏡</t>
  </si>
  <si>
    <t>潜水艦搭載電探&amp;逆探(E27)</t>
  </si>
  <si>
    <t>彩雲(東カロリン空)</t>
  </si>
  <si>
    <t>後期型艦首魚雷(6門)</t>
  </si>
  <si>
    <t>熟練聴音員+後期型艦首魚雷(6門)</t>
  </si>
  <si>
    <t>Ro.44水上戦闘機bis</t>
  </si>
  <si>
    <t>二式水戦改(熟練)</t>
  </si>
  <si>
    <t>強風改</t>
  </si>
  <si>
    <t>四式戦 疾風</t>
  </si>
  <si>
    <t>零式艦戦63型(爆戦)</t>
  </si>
  <si>
    <t>8cm高角砲改+増設機銃</t>
  </si>
  <si>
    <t>一式戦 隼II型</t>
  </si>
  <si>
    <t>一式戦 隼III型甲</t>
  </si>
  <si>
    <t>一式戦 隼III型甲(54戦隊)</t>
  </si>
  <si>
    <t>爆装一式戦 隼III型改(65戦隊)</t>
  </si>
  <si>
    <t>一式戦 隼II型(64戦隊)</t>
  </si>
  <si>
    <t>九五式爆雷</t>
  </si>
  <si>
    <t>二式爆雷</t>
  </si>
  <si>
    <t>九六式艦戦改</t>
  </si>
  <si>
    <t>12.7cm単装高角砲(後期型)</t>
  </si>
  <si>
    <t>特大発動艇+戦車第11連隊</t>
  </si>
  <si>
    <t>30.5cm三連装砲</t>
  </si>
  <si>
    <t>30.5cm三連装砲改</t>
  </si>
  <si>
    <t>F4U-1D</t>
  </si>
  <si>
    <t>15.5cm三連装副砲改</t>
  </si>
  <si>
    <t>15.5cm三連装砲改</t>
  </si>
  <si>
    <t>41cm三連装砲改</t>
  </si>
  <si>
    <t>瑞雲(六三四空/熟練)</t>
  </si>
  <si>
    <t>零式水上偵察機11型乙</t>
  </si>
  <si>
    <t>零式水上偵察機11型乙(熟練)</t>
  </si>
  <si>
    <t>22号対水上電探改四(後期調整型)</t>
  </si>
  <si>
    <t>戦闘糧食(特別なおにぎり)</t>
  </si>
  <si>
    <t>Swordfish</t>
  </si>
  <si>
    <t>Swordfish Mk.II(熟練)</t>
  </si>
  <si>
    <t>Swordfish Mk.III(熟練)</t>
  </si>
  <si>
    <t>38cm四連装砲</t>
  </si>
  <si>
    <t>38cm四連装砲改</t>
  </si>
  <si>
    <t>15.2cm三連装砲</t>
  </si>
  <si>
    <t>Skua</t>
  </si>
  <si>
    <t>Fulmar</t>
  </si>
  <si>
    <t>Spitfire Mk.I</t>
  </si>
  <si>
    <t>Spitfire Mk.V</t>
  </si>
  <si>
    <t>Seafire Mk.III改</t>
  </si>
  <si>
    <t>Spitfire Mk.IX(熟練)</t>
  </si>
  <si>
    <t>F6F-3N</t>
  </si>
  <si>
    <t>F6F-5N</t>
  </si>
  <si>
    <t>TBF</t>
  </si>
  <si>
    <t>TBM-3D</t>
  </si>
  <si>
    <t>夜間作戦航空要員</t>
  </si>
  <si>
    <t>夜間作戦航空要員+熟練甲板員</t>
  </si>
  <si>
    <t>Type124 ASDIC</t>
  </si>
  <si>
    <t>Type144/147 ASDIC</t>
  </si>
  <si>
    <t>HF/DF + Type144/147 ASDIC</t>
  </si>
  <si>
    <t>紫電改(三四三空) 戦闘301</t>
  </si>
  <si>
    <t>12.7cm連装砲C型改二</t>
  </si>
  <si>
    <t>12.7cm連装砲D型改二</t>
  </si>
  <si>
    <t>北方迷彩(+北方装備)</t>
  </si>
  <si>
    <t>試製東海</t>
  </si>
  <si>
    <t>東海(九〇一空)</t>
  </si>
  <si>
    <t>紫電改四</t>
  </si>
  <si>
    <t>遊撃部隊 艦隊司令部</t>
  </si>
  <si>
    <t>彩雲(偵四)</t>
  </si>
  <si>
    <t>12cm30連装噴進砲改二</t>
  </si>
  <si>
    <t>10cm連装高角砲改+増設機銃</t>
  </si>
  <si>
    <t>46cm三連装砲改</t>
  </si>
  <si>
    <t>FM-2</t>
  </si>
  <si>
    <t>SK レーダー</t>
  </si>
  <si>
    <t>SK+SG レーダー</t>
  </si>
  <si>
    <t>QF 4.7inch砲 Mk.XII改</t>
  </si>
  <si>
    <t>51cm連装砲</t>
  </si>
  <si>
    <t>130mm B-13連装砲</t>
  </si>
  <si>
    <t>533mm 三連装魚雷</t>
  </si>
  <si>
    <t>5inch単装砲 Mk.30</t>
  </si>
  <si>
    <t>61cm三連装(酸素)魚雷後期型</t>
  </si>
  <si>
    <t>61cm四連装(酸素)魚雷後期型</t>
  </si>
  <si>
    <t>三式爆雷投射機 集中配備</t>
  </si>
  <si>
    <t>試製15cm9連装対潜噴進砲</t>
  </si>
  <si>
    <t>35.6cm三連装砲改(ダズル迷彩仕様)</t>
  </si>
  <si>
    <t>41cm三連装砲改二</t>
  </si>
  <si>
    <t>彗星二二型(六三四空)</t>
  </si>
  <si>
    <t>彗星二二型(六三四空/熟練)</t>
  </si>
  <si>
    <t>12cm単装砲改二</t>
  </si>
  <si>
    <t>12.7cm連装砲A型改二</t>
  </si>
  <si>
    <t>12.7cm連装砲A型改三(戦時改修)+高射装置</t>
  </si>
  <si>
    <t>12.7cm連装砲B型改四(戦時改修)+高射装置</t>
  </si>
  <si>
    <t>12.7cm連装砲A型</t>
  </si>
  <si>
    <t>16inch Mk.I三連装砲</t>
  </si>
  <si>
    <t>16inch Mk.I三連装砲+AFCT改</t>
  </si>
  <si>
    <t>16inch Mk.I三連装砲改+FCR type284</t>
  </si>
  <si>
    <t>20連装7inch UP Rocket Launchers</t>
  </si>
  <si>
    <t>九七式艦攻(九三一空/熟練)</t>
  </si>
  <si>
    <t>Bofors 15.2cm連装砲 Model 1930</t>
  </si>
  <si>
    <t>S9 Osprey</t>
  </si>
  <si>
    <t>Ju87C改二(KMX搭載機)</t>
  </si>
  <si>
    <t>Ju87C改二(KMX搭載機/熟練)</t>
  </si>
  <si>
    <t>GFCS Mk.37</t>
  </si>
  <si>
    <t>5inch単装砲 Mk.30改+GFCS Mk.37</t>
  </si>
  <si>
    <t>甲標的 丙型</t>
  </si>
  <si>
    <t>14cm連装砲改</t>
  </si>
  <si>
    <t>陸上偵察機</t>
  </si>
  <si>
    <t>二式陸上偵察機</t>
  </si>
  <si>
    <t>二式陸上偵察機(熟練)</t>
  </si>
  <si>
    <t>5inch単装砲 Mk.30改</t>
  </si>
  <si>
    <t>533mm五連装魚雷(初期型)</t>
  </si>
  <si>
    <t>SG レーダー(初期型)</t>
  </si>
  <si>
    <t>Re.2001 CB改</t>
  </si>
  <si>
    <t>三式弾改</t>
  </si>
  <si>
    <t>41cm連装砲改二</t>
  </si>
  <si>
    <t>彗星一二型(六三四空/三号爆弾搭載機)</t>
  </si>
  <si>
    <t>彗星一二型(三一号光電管爆弾搭載機)</t>
  </si>
  <si>
    <t>瑞雲改二(六三四空)</t>
  </si>
  <si>
    <t>瑞雲改二(六三四空/熟練)</t>
  </si>
  <si>
    <t>SS++</t>
  </si>
  <si>
    <t>オ号観測機改</t>
  </si>
  <si>
    <t>オ号観測機改二</t>
  </si>
  <si>
    <t>S-51J</t>
  </si>
  <si>
    <t>S-51J改</t>
  </si>
  <si>
    <t>35.6cm連装砲改</t>
  </si>
  <si>
    <t>35.6cm連装砲改二</t>
  </si>
  <si>
    <t>16inch Mk.I連装砲</t>
  </si>
  <si>
    <t>16inch Mk.V連装砲</t>
  </si>
  <si>
    <t>16inch Mk.VIII連装砲改</t>
  </si>
  <si>
    <t>烈風改</t>
  </si>
  <si>
    <t>烈風改(三五二空/熟練)</t>
  </si>
  <si>
    <t>烈風改(試製艦載型)</t>
  </si>
  <si>
    <t>烈風改二</t>
  </si>
  <si>
    <t>烈風改二(一航戦/熟練)</t>
  </si>
  <si>
    <t>烈風改二戊型</t>
  </si>
  <si>
    <t>烈風改二戊型(一航戦/熟練)</t>
  </si>
  <si>
    <t>152mm/55 三連装速射砲</t>
  </si>
  <si>
    <t>152mm/55 三連装速射砲改</t>
  </si>
  <si>
    <t>流星改(一航戦)</t>
  </si>
  <si>
    <t>流星改(一航戦/熟練)</t>
  </si>
  <si>
    <t>九七式艦攻改 試製三号戊型(空六号電探改装備機)</t>
  </si>
  <si>
    <t>九七式艦攻改(熟練) 試製三号戊型(空六号電探改装備機)</t>
  </si>
  <si>
    <t>二式12cm迫撃砲改</t>
  </si>
  <si>
    <t>二式12cm迫撃砲改 集中配備</t>
  </si>
  <si>
    <t>艦載型 四式20cm対地噴進砲</t>
  </si>
  <si>
    <t>四式20cm対地噴進砲 集中配備</t>
  </si>
  <si>
    <t>Me163B</t>
  </si>
  <si>
    <t>試製 秋水</t>
  </si>
  <si>
    <t>秋水</t>
  </si>
  <si>
    <t>Fw190 A-5改(熟練)</t>
  </si>
  <si>
    <t>Fw190 D-9</t>
  </si>
  <si>
    <t>M4A1 DD</t>
  </si>
  <si>
    <t>8inch三連装砲 Mk.9</t>
  </si>
  <si>
    <t>8inch三連装砲 Mk.9 mod.2</t>
  </si>
  <si>
    <t>5inch 単装高角砲群</t>
  </si>
  <si>
    <t>6inch 連装速射砲 Mk.XXI</t>
  </si>
  <si>
    <t>Bofors 15cm連装速射砲 Mk.9 Model 1938</t>
  </si>
  <si>
    <t>Bofors 15cm連装速射砲 Mk.9改+単装速射砲 Mk.10改 Model 1938</t>
  </si>
  <si>
    <t>5inch連装両用砲(集中配備)</t>
  </si>
  <si>
    <t>GFCS Mk.37+5inch連装両用砲(集中配備)</t>
  </si>
  <si>
    <t>甲標的 丁型改(蛟龍改)</t>
  </si>
  <si>
    <t>一式徹甲弾改</t>
  </si>
  <si>
    <t>12.7cm連装砲D型改三</t>
  </si>
  <si>
    <t>Swordfish(水上機型)</t>
  </si>
  <si>
    <t>Swordfish Mk.III改(水上機型)</t>
  </si>
  <si>
    <t>Swordfish Mk.III改(水上機型/熟練)</t>
  </si>
  <si>
    <t>Swordfish Mk.II改(水偵型)</t>
  </si>
  <si>
    <t>Fairey Seafox改</t>
  </si>
  <si>
    <t>天山一二型甲</t>
  </si>
  <si>
    <t>天山一二型甲改(空六号電探改装備機)</t>
  </si>
  <si>
    <t>天山一二型甲改(熟練/空六号電探改装備機)</t>
  </si>
  <si>
    <t>XF5U</t>
  </si>
  <si>
    <t>533mm五連装魚雷(後期型)</t>
  </si>
  <si>
    <t>RUR-4A Weapon Alpha改</t>
  </si>
  <si>
    <t>対潜短魚雷(試作初期型)</t>
  </si>
  <si>
    <t>12.7cm単装高角砲改二</t>
  </si>
  <si>
    <t>12.7cm連装高角砲改二</t>
  </si>
  <si>
    <t>16inch三連装砲 Mk.6</t>
  </si>
  <si>
    <t>12cm単装高角砲E型</t>
  </si>
  <si>
    <t>後期型53cm艦首魚雷(8門)</t>
  </si>
  <si>
    <t>後期型潜水艦搭載電探&amp;逆探</t>
  </si>
  <si>
    <t>16inch三連装砲 Mk.6 mod.2</t>
  </si>
  <si>
    <t>6inch三連装速射砲 Mk.16</t>
  </si>
  <si>
    <t>6inch三連装速射砲 Mk.16 mod.2</t>
  </si>
  <si>
    <t>銀河(江草隊)</t>
  </si>
  <si>
    <t>TBM-3W+3S</t>
  </si>
  <si>
    <t>16inch三連装砲 Mk.6+GFCS</t>
  </si>
  <si>
    <t>九九式艦爆二二型</t>
  </si>
  <si>
    <t>九九式艦爆二二型(熟練)</t>
  </si>
  <si>
    <t>120mm/50 連装砲 mod.1936</t>
  </si>
  <si>
    <t>120mm/50 連装砲改 A.mod.1937</t>
  </si>
  <si>
    <t>大型陸上機</t>
  </si>
  <si>
    <t>深山</t>
  </si>
  <si>
    <t>深山改</t>
  </si>
  <si>
    <t>5inch単装砲</t>
  </si>
  <si>
    <t>5inch連装砲</t>
  </si>
  <si>
    <t>3inch単装高角砲</t>
  </si>
  <si>
    <t>5inch単装高射砲</t>
  </si>
  <si>
    <t>8inch三連装砲</t>
  </si>
  <si>
    <t>6inch連装速射砲</t>
  </si>
  <si>
    <t>14inch連装砲</t>
  </si>
  <si>
    <t>16inch連装砲</t>
  </si>
  <si>
    <t>16inch三連装砲</t>
  </si>
  <si>
    <t>6inch単装砲</t>
  </si>
  <si>
    <t>12.5inch連装副砲</t>
  </si>
  <si>
    <t>21inch魚雷前期型</t>
  </si>
  <si>
    <t>21inch魚雷後期型</t>
  </si>
  <si>
    <t>高速深海魚雷</t>
  </si>
  <si>
    <t>深海棲艦攻</t>
  </si>
  <si>
    <t>深海棲艦攻 Mark.II</t>
  </si>
  <si>
    <t>深海棲艦攻 Mark.III</t>
  </si>
  <si>
    <t>深海棲艦戦</t>
  </si>
  <si>
    <t>深海棲艦戦 Mark.II</t>
  </si>
  <si>
    <t>深海棲艦戦 Mark.III</t>
  </si>
  <si>
    <t>飛び魚艦戦</t>
  </si>
  <si>
    <t>深海棲艦爆</t>
  </si>
  <si>
    <t>深海棲艦爆 Mark.II</t>
  </si>
  <si>
    <t>深海棲艦偵察機</t>
  </si>
  <si>
    <t>飛び魚偵察機</t>
  </si>
  <si>
    <t>対空レーダ― Mark.I</t>
  </si>
  <si>
    <t>水上レーダ― Mark.I</t>
  </si>
  <si>
    <t>水上レーダ― Mark.II</t>
  </si>
  <si>
    <t>対空レーダ― Mark.II</t>
  </si>
  <si>
    <t>深海水上レーダー</t>
  </si>
  <si>
    <t>深海対空レーダ―</t>
  </si>
  <si>
    <t>改良型深海タービン</t>
  </si>
  <si>
    <t>強化型深海缶</t>
  </si>
  <si>
    <t>対空散弾</t>
  </si>
  <si>
    <t>劣化徹甲弾</t>
  </si>
  <si>
    <t>12.7mm機銃</t>
  </si>
  <si>
    <t>20mm機銃</t>
  </si>
  <si>
    <t>40mm二連装機関砲</t>
  </si>
  <si>
    <t>40mm四連装機関砲</t>
  </si>
  <si>
    <t>深海烏賊魚雷</t>
  </si>
  <si>
    <t>深海爆雷投射機</t>
  </si>
  <si>
    <t>深海ソナー</t>
  </si>
  <si>
    <t>深海爆雷投射機 Mk.II</t>
  </si>
  <si>
    <t>深海ソナー Mk.II</t>
  </si>
  <si>
    <t>飛び魚艦爆</t>
  </si>
  <si>
    <t>深海猫艦戦</t>
  </si>
  <si>
    <t>深海地獄艦爆</t>
  </si>
  <si>
    <t>深海復讐艦攻</t>
  </si>
  <si>
    <t>5inch連装両用莢砲</t>
  </si>
  <si>
    <t>20inch連装砲</t>
  </si>
  <si>
    <t>15inch要塞砲</t>
  </si>
  <si>
    <t>4inch連装両用砲+CIC</t>
  </si>
  <si>
    <t>深海水上攻撃機</t>
  </si>
  <si>
    <t>深海水上攻撃機改</t>
  </si>
  <si>
    <t>深海猫艦戦改</t>
  </si>
  <si>
    <t>深海地獄艦爆改</t>
  </si>
  <si>
    <t>深海復讐艦攻改</t>
  </si>
  <si>
    <t>深海FCS+CIC</t>
  </si>
  <si>
    <t>深海探照灯</t>
  </si>
  <si>
    <t>深海解放陸爆</t>
  </si>
  <si>
    <t>深海解放陸爆Ace</t>
  </si>
  <si>
    <t>8inch長射程連装砲</t>
  </si>
  <si>
    <t>深海水上偵察観測機</t>
  </si>
  <si>
    <t>5inch沿岸設置砲</t>
  </si>
  <si>
    <t>深海猫艦戦(爆装)</t>
  </si>
  <si>
    <t>沿岸設置レーダー</t>
  </si>
  <si>
    <t>深海偵察飛行艇</t>
  </si>
  <si>
    <t>高速深海魚雷 mod.2</t>
  </si>
  <si>
    <t>深海水母小鬼機</t>
  </si>
  <si>
    <t>深海熊猫艦戦</t>
  </si>
  <si>
    <t>深海潜水下駄履き</t>
  </si>
  <si>
    <t>超長+</t>
  </si>
  <si>
    <t>深海攻撃哨戒鷹</t>
  </si>
  <si>
    <t>深海攻撃哨戒鷹改</t>
  </si>
  <si>
    <t>深海12inch三連装砲</t>
  </si>
  <si>
    <t>深海15inch四連装砲</t>
  </si>
  <si>
    <t>深海15inch連装砲後期型</t>
  </si>
  <si>
    <t>深海14inch海峡連装砲</t>
  </si>
  <si>
    <t>深海待伏魚雷</t>
  </si>
  <si>
    <t>夜猫深海艦戦</t>
  </si>
  <si>
    <t>夜深海艦爆</t>
  </si>
  <si>
    <t>夜復讐深海艦攻</t>
  </si>
  <si>
    <t>深海14inch連装砲改</t>
  </si>
  <si>
    <t>深海16inch三連装砲改</t>
  </si>
  <si>
    <t>深海攻撃哨戒鷹改二</t>
  </si>
  <si>
    <t>深海16inch三連装砲改二</t>
  </si>
  <si>
    <t>深海5inch連装砲C型</t>
  </si>
  <si>
    <t>深海5.5inch連装砲改</t>
  </si>
  <si>
    <t>深海標的</t>
  </si>
  <si>
    <t>深海5inch単装砲 Mk.30</t>
  </si>
  <si>
    <t>深海16inch Mk.VIII連装砲改</t>
  </si>
  <si>
    <t>高速深海魚雷 mod.3</t>
  </si>
  <si>
    <t>深海空要塞(偵察型)</t>
  </si>
  <si>
    <t>深海空要塞Ace(偵察型)</t>
  </si>
  <si>
    <t>深海6inch三連装新型速射砲</t>
  </si>
  <si>
    <t>深海空要塞(重爆型)</t>
  </si>
  <si>
    <t>深海空要塞Ace(重爆型)</t>
  </si>
  <si>
    <t>深海4.7inch砲 Mk.XII</t>
  </si>
  <si>
    <t>深海8inch連装速射砲</t>
  </si>
  <si>
    <t>深海8inch三連装砲 Mk.9</t>
  </si>
  <si>
    <t>深海5inch連装両用砲(集中配備)</t>
  </si>
  <si>
    <t>深海対空レーダーMark.III+FCS</t>
  </si>
  <si>
    <t>深海5inch連装砲A型</t>
  </si>
  <si>
    <t>深海潜水艦搭載電子兵装</t>
  </si>
  <si>
    <t>深海5inch単装高角砲改二</t>
  </si>
  <si>
    <t>深海5inch連装高角砲改二</t>
  </si>
  <si>
    <t>深海夜間航空作戦装備</t>
  </si>
  <si>
    <t>深海16inch三連装砲 Mk6</t>
  </si>
  <si>
    <t>装備種1</t>
  </si>
  <si>
    <t>装備種2</t>
  </si>
  <si>
    <t>装備種3</t>
  </si>
  <si>
    <t>装備種4</t>
  </si>
  <si>
    <t>装備種5</t>
  </si>
  <si>
    <t>小口径主砲</t>
    <phoneticPr fontId="18"/>
  </si>
  <si>
    <t>120mm/50 連装砲 mod.1936</t>
    <phoneticPr fontId="18"/>
  </si>
  <si>
    <t>短</t>
    <phoneticPr fontId="18"/>
  </si>
  <si>
    <t>120mm/50 連装砲改 A.mod.1937</t>
    <phoneticPr fontId="18"/>
  </si>
  <si>
    <t>大型陸上機</t>
    <phoneticPr fontId="18"/>
  </si>
  <si>
    <t>深山</t>
    <phoneticPr fontId="18"/>
  </si>
  <si>
    <t>深山改</t>
    <phoneticPr fontId="18"/>
  </si>
  <si>
    <t>icon</t>
    <phoneticPr fontId="18"/>
  </si>
  <si>
    <t>fire</t>
    <phoneticPr fontId="18"/>
  </si>
  <si>
    <t>wpId</t>
    <phoneticPr fontId="18"/>
  </si>
  <si>
    <t>typeName</t>
    <phoneticPr fontId="18"/>
  </si>
  <si>
    <t>wpName</t>
    <phoneticPr fontId="18"/>
  </si>
  <si>
    <t>torpedo</t>
    <phoneticPr fontId="18"/>
  </si>
  <si>
    <t>aa</t>
    <phoneticPr fontId="18"/>
  </si>
  <si>
    <t>armor</t>
    <phoneticPr fontId="18"/>
  </si>
  <si>
    <t>asw</t>
    <phoneticPr fontId="18"/>
  </si>
  <si>
    <t>evasion</t>
    <phoneticPr fontId="18"/>
  </si>
  <si>
    <t>los</t>
    <phoneticPr fontId="18"/>
  </si>
  <si>
    <t>accuracy</t>
    <phoneticPr fontId="18"/>
  </si>
  <si>
    <t>bombing</t>
    <phoneticPr fontId="18"/>
  </si>
  <si>
    <t>range</t>
    <phoneticPr fontId="18"/>
  </si>
  <si>
    <t>radius</t>
    <phoneticPr fontId="18"/>
  </si>
  <si>
    <t>Improvement</t>
    <phoneticPr fontId="18"/>
  </si>
  <si>
    <t>10cm高角砲＋高射装置</t>
  </si>
  <si>
    <t>12.7cm連装砲A型改三(戦時改修)＋高射装置</t>
  </si>
  <si>
    <t>12.7cm連装砲B型改四(戦時改修)＋高射装置</t>
  </si>
  <si>
    <t>Bofors15.2cm連装砲 Model1930</t>
  </si>
  <si>
    <t>16inch三連装砲 Mk.7＋GFCS</t>
  </si>
  <si>
    <t>8cm高角砲改＋増設機銃</t>
  </si>
  <si>
    <t>10cm連装高角砲改＋増設機銃</t>
  </si>
  <si>
    <t>Laté 298B</t>
  </si>
  <si>
    <t>SKレーダー</t>
  </si>
  <si>
    <t>大発動艇(八九式中戦車＆陸戦隊)</t>
  </si>
  <si>
    <t>潜水艦搭載電探＆水防式望遠鏡</t>
  </si>
  <si>
    <t>〇</t>
    <phoneticPr fontId="18"/>
  </si>
  <si>
    <t>10cm連装高角砲+高射装置</t>
    <phoneticPr fontId="18"/>
  </si>
  <si>
    <t>12.7cm連装高角砲(後期型)</t>
    <phoneticPr fontId="18"/>
  </si>
  <si>
    <t>10cm連装高角砲改+増設機銃</t>
    <phoneticPr fontId="18"/>
  </si>
  <si>
    <t>12.7cm連装砲</t>
    <phoneticPr fontId="18"/>
  </si>
  <si>
    <t>12.7cm連装砲A型改三(戦時改修)+高射装置</t>
    <phoneticPr fontId="18"/>
  </si>
  <si>
    <t>12.7cm連装砲B型改四(戦時改修)+高射装置</t>
    <phoneticPr fontId="18"/>
  </si>
  <si>
    <t>16inch三連装砲 Mk.7+GFCS</t>
    <phoneticPr fontId="18"/>
  </si>
  <si>
    <t>203mm/53 連装砲</t>
    <phoneticPr fontId="18"/>
  </si>
  <si>
    <t>381mm/50 三連装砲</t>
    <phoneticPr fontId="18"/>
  </si>
  <si>
    <t>381mm/50 三連装砲改</t>
    <phoneticPr fontId="18"/>
  </si>
  <si>
    <t>8cm高角砲改+増設機銃</t>
    <phoneticPr fontId="18"/>
  </si>
  <si>
    <t>Bofors 15.2cm連装砲 Model 1930</t>
    <phoneticPr fontId="18"/>
  </si>
  <si>
    <t>Late 298B</t>
    <phoneticPr fontId="18"/>
  </si>
  <si>
    <t>SK レーダー</t>
    <phoneticPr fontId="18"/>
  </si>
  <si>
    <t>瑞雲(六三四空/熟練)</t>
    <phoneticPr fontId="18"/>
  </si>
  <si>
    <t>潜水艦搭載電探&amp;水防式望遠鏡</t>
    <phoneticPr fontId="18"/>
  </si>
  <si>
    <t>大発動艇(八九式中戦車&amp;陸戦隊)</t>
    <phoneticPr fontId="18"/>
  </si>
  <si>
    <t>零戦62型(爆戦/岩井隊)</t>
    <phoneticPr fontId="18"/>
  </si>
  <si>
    <t>零式水上偵察機11型乙★2</t>
    <phoneticPr fontId="18"/>
  </si>
  <si>
    <t>TBD★3</t>
    <phoneticPr fontId="18"/>
  </si>
  <si>
    <t>TBF★4</t>
    <phoneticPr fontId="18"/>
  </si>
  <si>
    <t>流星改(一航戦/熟練)★2</t>
    <phoneticPr fontId="18"/>
  </si>
  <si>
    <t>彩雲★2</t>
    <phoneticPr fontId="18"/>
  </si>
  <si>
    <t>任務</t>
    <rPh sb="0" eb="2">
      <t>ニンム</t>
    </rPh>
    <phoneticPr fontId="18"/>
  </si>
  <si>
    <t>ランカー</t>
    <phoneticPr fontId="18"/>
  </si>
  <si>
    <t>イベント</t>
    <phoneticPr fontId="18"/>
  </si>
  <si>
    <t>甲標的 丙型★4</t>
    <phoneticPr fontId="18"/>
  </si>
  <si>
    <t>彩雲(偵四)</t>
    <phoneticPr fontId="18"/>
  </si>
  <si>
    <t>一式陸攻 三四型★4</t>
    <phoneticPr fontId="18"/>
  </si>
  <si>
    <t>14cm連装砲改★8</t>
  </si>
  <si>
    <t>一式陸攻(野中隊)★5</t>
  </si>
  <si>
    <t>一式陸攻 二二型甲★3</t>
  </si>
  <si>
    <t>銀河★3</t>
  </si>
  <si>
    <t>零式水上偵察機11型乙(熟練)★3</t>
  </si>
  <si>
    <t>16inch三連装砲 Mk.6★6</t>
  </si>
  <si>
    <t>12.7cm単装高角砲改二★4</t>
  </si>
  <si>
    <t>SG レーダー(初期型)★4</t>
  </si>
  <si>
    <t>5inch連装両用砲(集中配備)★3</t>
  </si>
  <si>
    <t>彗星一二型(三一号光電管爆弾搭載機)★3</t>
  </si>
  <si>
    <t xml:space="preserve">6inch 連装速射砲 Mk.XXI★8 </t>
  </si>
  <si>
    <t>紫電改四★4</t>
  </si>
  <si>
    <t>5inch 単装高角砲群★4</t>
  </si>
  <si>
    <t xml:space="preserve">三式戦 飛燕(飛行第244戦隊)★5 </t>
  </si>
  <si>
    <t>三式戦 飛燕一型丁★3</t>
  </si>
  <si>
    <t>35.6cm三連装砲改(ダズル迷彩仕様)★4</t>
  </si>
  <si>
    <t>瑞雲(六三一空)★4</t>
  </si>
  <si>
    <t>12.7cm連装砲D型改三★4</t>
  </si>
  <si>
    <t>四式戦 疾風★5</t>
  </si>
  <si>
    <t>天山(九三一空)★2</t>
  </si>
  <si>
    <t>彩雲(偵四)★2</t>
  </si>
  <si>
    <t>二式陸上偵察機(熟練)★2</t>
  </si>
  <si>
    <t>6inch三連装速射砲 Mk.16★7</t>
  </si>
  <si>
    <t>二式大艇★4</t>
  </si>
  <si>
    <t>九七式艦攻(村田隊)★2</t>
  </si>
  <si>
    <t>16inch三連装砲 Mk.6 mod.2★10</t>
    <phoneticPr fontId="18"/>
  </si>
  <si>
    <t>16inch三連装砲 Mk.6+GFCS★7</t>
    <phoneticPr fontId="18"/>
  </si>
  <si>
    <t>GFCS Mk.37+5inch連装両用砲(集中配備)★2</t>
    <phoneticPr fontId="18"/>
  </si>
  <si>
    <t>SK+SG レーダー</t>
    <phoneticPr fontId="18"/>
  </si>
  <si>
    <t>SK+SG レーダー★2</t>
    <phoneticPr fontId="18"/>
  </si>
  <si>
    <t>天山一二型(村田隊)</t>
    <phoneticPr fontId="18"/>
  </si>
  <si>
    <t>天山一二型(村田隊)★2</t>
    <phoneticPr fontId="18"/>
  </si>
  <si>
    <t>120mm/50 連装砲 mod.1936★3</t>
    <phoneticPr fontId="18"/>
  </si>
  <si>
    <t>120mm/50 連装砲改 A.mod.1937★3</t>
    <phoneticPr fontId="18"/>
  </si>
  <si>
    <t>5inch単装砲 Mk.30 改</t>
  </si>
  <si>
    <t>5inch単装砲 Mk.30改＋GFCS Mk.37</t>
  </si>
  <si>
    <t>120mm／50 連装砲</t>
  </si>
  <si>
    <t>120mm／50 連装砲 mod.1936</t>
  </si>
  <si>
    <t>120mm／50 連装砲改 A.mod.1937</t>
  </si>
  <si>
    <t>Bofors 15cm連装速射砲 Mk.9改＋単装速射砲 Mk.10改 Model 1938</t>
  </si>
  <si>
    <t>16inch三連装砲 Mk.6＋GFCS</t>
  </si>
  <si>
    <t>天山(村田隊)</t>
  </si>
  <si>
    <t>天山一二型甲改(熟練／空六号電探改装備機)</t>
  </si>
  <si>
    <t>後期型潜水艦搭載電探＆逆探</t>
  </si>
  <si>
    <t>SK＋SGレーダー</t>
  </si>
  <si>
    <t>北方迷彩(＋北方装備)</t>
  </si>
  <si>
    <t>GFCS Mk.37＋5inch連装両用砲(集中配備)</t>
  </si>
  <si>
    <t>16inch Mk.I三連装砲＋AFCT改</t>
  </si>
  <si>
    <t>16inch Mk.I三連装砲改＋FCR type284</t>
  </si>
  <si>
    <t>5inch単装砲 Mk.30改+GFCS Mk.37</t>
    <phoneticPr fontId="18"/>
  </si>
  <si>
    <t>5inch単装砲 Mk.30改</t>
    <phoneticPr fontId="18"/>
  </si>
  <si>
    <t>120mm/50 連装砲</t>
    <phoneticPr fontId="18"/>
  </si>
  <si>
    <t>Bofors 15cm連装速射砲 Mk.9改+単装速射砲 Mk.10改 Model 1938</t>
    <phoneticPr fontId="18"/>
  </si>
  <si>
    <t>GFCS Mk.37+5inch連装両用砲(集中配備)</t>
    <phoneticPr fontId="18"/>
  </si>
  <si>
    <t>16inch Mk.I三連装砲+AFCT改</t>
    <phoneticPr fontId="18"/>
  </si>
  <si>
    <t>16inch Mk.I三連装砲改+FCR type284</t>
    <phoneticPr fontId="18"/>
  </si>
  <si>
    <t>16inch三連装砲 Mk.6+GFCS</t>
    <phoneticPr fontId="18"/>
  </si>
  <si>
    <t>熟練聴音員＋後期型艦首魚雷(6門)</t>
  </si>
  <si>
    <t>TBM-3W+3S</t>
    <phoneticPr fontId="18"/>
  </si>
  <si>
    <t>彗星(六〇一空)</t>
    <phoneticPr fontId="18"/>
  </si>
  <si>
    <t>彗星一二型甲</t>
    <phoneticPr fontId="18"/>
  </si>
  <si>
    <t>彗星</t>
    <phoneticPr fontId="18"/>
  </si>
  <si>
    <t>天山一二型(友永隊)</t>
    <phoneticPr fontId="18"/>
  </si>
  <si>
    <t>天山一二型甲改(熟練/空六号電探改装備機)</t>
    <phoneticPr fontId="18"/>
  </si>
  <si>
    <t>試製景雲(艦偵型)</t>
    <phoneticPr fontId="18"/>
  </si>
  <si>
    <t>彩雲</t>
    <phoneticPr fontId="18"/>
  </si>
  <si>
    <t>後期型潜水艦搭載電探&amp;逆探</t>
    <phoneticPr fontId="18"/>
  </si>
  <si>
    <t>北方迷彩(+北方装備)</t>
    <phoneticPr fontId="18"/>
  </si>
  <si>
    <t>Bonus</t>
    <phoneticPr fontId="18"/>
  </si>
  <si>
    <t>wikiName</t>
    <phoneticPr fontId="18"/>
  </si>
  <si>
    <t>WG42(Wurfgerät 42)</t>
  </si>
  <si>
    <t>12.7cm高角砲＋高射装置</t>
  </si>
  <si>
    <t>15m二重測距儀＋21号電探改二</t>
  </si>
  <si>
    <t>潜水艦搭載電探＆逆探(E27)</t>
  </si>
  <si>
    <t>特大発動艇＋戦車第11連隊</t>
  </si>
  <si>
    <t>夜間作戦航空要員＋熟練甲板員</t>
  </si>
  <si>
    <t>彗星二二型(六三四空／熟練)</t>
  </si>
  <si>
    <t>九七式艦攻(九三一空／熟練)</t>
  </si>
  <si>
    <t>Ju87C改二(KMX搭載機／熟練)</t>
  </si>
  <si>
    <t>彗星一二型(六三四空／三号爆弾搭載機)</t>
  </si>
  <si>
    <t>瑞雲改二(六三四空／熟練)</t>
  </si>
  <si>
    <t>烈風改(三五二空／熟練)</t>
  </si>
  <si>
    <t>烈風改二戊型(一航戦／熟練)</t>
  </si>
  <si>
    <t>152mm／55 三連装速射砲</t>
  </si>
  <si>
    <t>152mm／55 三連装速射砲改</t>
  </si>
  <si>
    <t>流星改(一航戦／熟練)</t>
  </si>
  <si>
    <t>Swordfish Mk.III改(水上機型／熟練)</t>
  </si>
  <si>
    <t>TBM-3W＋3S</t>
  </si>
  <si>
    <t>烈風(六〇一空)</t>
    <phoneticPr fontId="18"/>
  </si>
  <si>
    <t>引継ぎ</t>
    <rPh sb="0" eb="2">
      <t>ヒキツ</t>
    </rPh>
    <phoneticPr fontId="18"/>
  </si>
  <si>
    <t>烈風(六〇一空)★10</t>
    <rPh sb="0" eb="2">
      <t>レップウ</t>
    </rPh>
    <rPh sb="3" eb="6">
      <t>６０１</t>
    </rPh>
    <rPh sb="6" eb="7">
      <t>ソラ</t>
    </rPh>
    <phoneticPr fontId="18"/>
  </si>
  <si>
    <t>彗星(江草隊)★10</t>
    <phoneticPr fontId="18"/>
  </si>
  <si>
    <t>Ju87C改二(KMX搭載機)★1</t>
    <phoneticPr fontId="18"/>
  </si>
  <si>
    <t>天山一二型(友永隊)★10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</si>
</sst>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3" formatCode="0_ "/>
  </numFmts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03"/>
  <sheetViews>
    <sheetView workbookViewId="0"/>
  </sheetViews>
  <sheetFormatPr defaultRowHeight="18.75" x14ac:dyDescent="0.4"/>
  <sheetData>
    <row r="1" spans="1:27" x14ac:dyDescent="0.4">
      <c r="A1" t="s">
        <v>0</v>
      </c>
      <c r="B1" t="s">
        <v>1</v>
      </c>
      <c r="C1" t="s">
        <v>3</v>
      </c>
      <c r="D1" t="s">
        <v>586</v>
      </c>
      <c r="E1" t="s">
        <v>587</v>
      </c>
      <c r="F1" t="s">
        <v>588</v>
      </c>
      <c r="G1" t="s">
        <v>589</v>
      </c>
      <c r="H1" t="s">
        <v>590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</row>
    <row r="2" spans="1:27" x14ac:dyDescent="0.4">
      <c r="A2">
        <v>1</v>
      </c>
      <c r="B2">
        <v>1</v>
      </c>
      <c r="C2" t="s">
        <v>29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U2">
        <v>0</v>
      </c>
      <c r="V2">
        <v>1</v>
      </c>
      <c r="W2">
        <v>1</v>
      </c>
      <c r="X2">
        <v>0</v>
      </c>
      <c r="Z2">
        <v>0</v>
      </c>
      <c r="AA2">
        <v>0</v>
      </c>
    </row>
    <row r="3" spans="1:27" x14ac:dyDescent="0.4">
      <c r="A3">
        <v>2</v>
      </c>
      <c r="B3">
        <v>2</v>
      </c>
      <c r="C3" t="s">
        <v>32</v>
      </c>
      <c r="D3">
        <v>1</v>
      </c>
      <c r="E3">
        <v>1</v>
      </c>
      <c r="F3">
        <v>1</v>
      </c>
      <c r="G3">
        <v>1</v>
      </c>
      <c r="H3">
        <v>0</v>
      </c>
      <c r="I3">
        <v>2</v>
      </c>
      <c r="J3">
        <v>0</v>
      </c>
      <c r="K3">
        <v>2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U3">
        <v>0</v>
      </c>
      <c r="V3">
        <v>1</v>
      </c>
      <c r="W3">
        <v>2</v>
      </c>
      <c r="X3">
        <v>0</v>
      </c>
      <c r="Z3">
        <v>0</v>
      </c>
      <c r="AA3">
        <v>0</v>
      </c>
    </row>
    <row r="4" spans="1:27" x14ac:dyDescent="0.4">
      <c r="A4">
        <v>3</v>
      </c>
      <c r="B4">
        <v>3</v>
      </c>
      <c r="C4" t="s">
        <v>33</v>
      </c>
      <c r="D4">
        <v>1</v>
      </c>
      <c r="E4">
        <v>1</v>
      </c>
      <c r="F4">
        <v>1</v>
      </c>
      <c r="G4">
        <v>16</v>
      </c>
      <c r="H4">
        <v>0</v>
      </c>
      <c r="I4">
        <v>2</v>
      </c>
      <c r="J4">
        <v>0</v>
      </c>
      <c r="K4">
        <v>7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1</v>
      </c>
      <c r="U4">
        <v>0</v>
      </c>
      <c r="V4">
        <v>1</v>
      </c>
      <c r="W4">
        <v>3</v>
      </c>
      <c r="X4">
        <v>0</v>
      </c>
      <c r="Z4">
        <v>0</v>
      </c>
      <c r="AA4">
        <v>0</v>
      </c>
    </row>
    <row r="5" spans="1:27" x14ac:dyDescent="0.4">
      <c r="A5">
        <v>4</v>
      </c>
      <c r="B5">
        <v>4</v>
      </c>
      <c r="C5" t="s">
        <v>35</v>
      </c>
      <c r="D5">
        <v>1</v>
      </c>
      <c r="E5">
        <v>1</v>
      </c>
      <c r="F5">
        <v>2</v>
      </c>
      <c r="G5">
        <v>2</v>
      </c>
      <c r="H5">
        <v>0</v>
      </c>
      <c r="I5">
        <v>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2</v>
      </c>
      <c r="T5">
        <v>0</v>
      </c>
      <c r="U5">
        <v>0</v>
      </c>
      <c r="V5">
        <v>2</v>
      </c>
      <c r="W5">
        <v>1</v>
      </c>
      <c r="X5">
        <v>0</v>
      </c>
      <c r="Z5">
        <v>0</v>
      </c>
      <c r="AA5">
        <v>0</v>
      </c>
    </row>
    <row r="6" spans="1:27" x14ac:dyDescent="0.4">
      <c r="A6">
        <v>5</v>
      </c>
      <c r="B6">
        <v>5</v>
      </c>
      <c r="C6" t="s">
        <v>37</v>
      </c>
      <c r="D6">
        <v>1</v>
      </c>
      <c r="E6">
        <v>1</v>
      </c>
      <c r="F6">
        <v>2</v>
      </c>
      <c r="G6">
        <v>2</v>
      </c>
      <c r="H6">
        <v>0</v>
      </c>
      <c r="I6">
        <v>7</v>
      </c>
      <c r="J6">
        <v>0</v>
      </c>
      <c r="K6">
        <v>4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2</v>
      </c>
      <c r="T6">
        <v>0</v>
      </c>
      <c r="U6">
        <v>0</v>
      </c>
      <c r="V6">
        <v>2</v>
      </c>
      <c r="W6">
        <v>5</v>
      </c>
      <c r="X6">
        <v>0</v>
      </c>
      <c r="Z6">
        <v>0</v>
      </c>
      <c r="AA6">
        <v>0</v>
      </c>
    </row>
    <row r="7" spans="1:27" x14ac:dyDescent="0.4">
      <c r="A7">
        <v>6</v>
      </c>
      <c r="B7">
        <v>6</v>
      </c>
      <c r="C7" t="s">
        <v>38</v>
      </c>
      <c r="D7">
        <v>1</v>
      </c>
      <c r="E7">
        <v>1</v>
      </c>
      <c r="F7">
        <v>2</v>
      </c>
      <c r="G7">
        <v>2</v>
      </c>
      <c r="H7">
        <v>0</v>
      </c>
      <c r="I7">
        <v>8</v>
      </c>
      <c r="J7">
        <v>0</v>
      </c>
      <c r="K7">
        <v>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2</v>
      </c>
      <c r="T7">
        <v>0</v>
      </c>
      <c r="U7">
        <v>0</v>
      </c>
      <c r="V7">
        <v>3</v>
      </c>
      <c r="W7">
        <v>4</v>
      </c>
      <c r="X7">
        <v>0</v>
      </c>
      <c r="Z7">
        <v>0</v>
      </c>
      <c r="AA7">
        <v>0</v>
      </c>
    </row>
    <row r="8" spans="1:27" x14ac:dyDescent="0.4">
      <c r="A8">
        <v>7</v>
      </c>
      <c r="B8">
        <v>7</v>
      </c>
      <c r="C8" t="s">
        <v>40</v>
      </c>
      <c r="D8">
        <v>1</v>
      </c>
      <c r="E8">
        <v>1</v>
      </c>
      <c r="F8">
        <v>3</v>
      </c>
      <c r="G8">
        <v>3</v>
      </c>
      <c r="H8">
        <v>0</v>
      </c>
      <c r="I8">
        <v>15</v>
      </c>
      <c r="J8">
        <v>0</v>
      </c>
      <c r="K8">
        <v>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3</v>
      </c>
      <c r="T8">
        <v>0</v>
      </c>
      <c r="U8">
        <v>0</v>
      </c>
      <c r="V8">
        <v>10</v>
      </c>
      <c r="W8">
        <v>15</v>
      </c>
      <c r="X8">
        <v>0</v>
      </c>
      <c r="Z8">
        <v>0</v>
      </c>
      <c r="AA8">
        <v>0</v>
      </c>
    </row>
    <row r="9" spans="1:27" x14ac:dyDescent="0.4">
      <c r="A9">
        <v>8</v>
      </c>
      <c r="B9">
        <v>8</v>
      </c>
      <c r="C9" t="s">
        <v>42</v>
      </c>
      <c r="D9">
        <v>1</v>
      </c>
      <c r="E9">
        <v>1</v>
      </c>
      <c r="F9">
        <v>3</v>
      </c>
      <c r="G9">
        <v>3</v>
      </c>
      <c r="H9">
        <v>0</v>
      </c>
      <c r="I9">
        <v>20</v>
      </c>
      <c r="J9">
        <v>0</v>
      </c>
      <c r="K9">
        <v>4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3</v>
      </c>
      <c r="T9">
        <v>1</v>
      </c>
      <c r="U9">
        <v>0</v>
      </c>
      <c r="V9">
        <v>12</v>
      </c>
      <c r="W9">
        <v>20</v>
      </c>
      <c r="X9">
        <v>0</v>
      </c>
      <c r="Z9">
        <v>0</v>
      </c>
      <c r="AA9">
        <v>0</v>
      </c>
    </row>
    <row r="10" spans="1:27" x14ac:dyDescent="0.4">
      <c r="A10">
        <v>9</v>
      </c>
      <c r="B10">
        <v>9</v>
      </c>
      <c r="C10" t="s">
        <v>43</v>
      </c>
      <c r="D10">
        <v>1</v>
      </c>
      <c r="E10">
        <v>1</v>
      </c>
      <c r="F10">
        <v>3</v>
      </c>
      <c r="G10">
        <v>3</v>
      </c>
      <c r="H10">
        <v>0</v>
      </c>
      <c r="I10">
        <v>26</v>
      </c>
      <c r="J10">
        <v>0</v>
      </c>
      <c r="K10">
        <v>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4</v>
      </c>
      <c r="T10">
        <v>2</v>
      </c>
      <c r="U10">
        <v>0</v>
      </c>
      <c r="V10">
        <v>24</v>
      </c>
      <c r="W10">
        <v>25</v>
      </c>
      <c r="X10">
        <v>0</v>
      </c>
      <c r="Z10">
        <v>0</v>
      </c>
      <c r="AA10">
        <v>0</v>
      </c>
    </row>
    <row r="11" spans="1:27" x14ac:dyDescent="0.4">
      <c r="A11">
        <v>10</v>
      </c>
      <c r="B11">
        <v>10</v>
      </c>
      <c r="C11" t="s">
        <v>47</v>
      </c>
      <c r="D11">
        <v>1</v>
      </c>
      <c r="E11">
        <v>2</v>
      </c>
      <c r="F11">
        <v>4</v>
      </c>
      <c r="G11">
        <v>16</v>
      </c>
      <c r="H11">
        <v>0</v>
      </c>
      <c r="I11">
        <v>2</v>
      </c>
      <c r="J11">
        <v>0</v>
      </c>
      <c r="K11">
        <v>4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1</v>
      </c>
      <c r="T11">
        <v>0</v>
      </c>
      <c r="U11">
        <v>0</v>
      </c>
      <c r="V11">
        <v>2</v>
      </c>
      <c r="W11">
        <v>2</v>
      </c>
      <c r="X11">
        <v>0</v>
      </c>
      <c r="Z11">
        <v>0</v>
      </c>
      <c r="AA11">
        <v>0</v>
      </c>
    </row>
    <row r="12" spans="1:27" x14ac:dyDescent="0.4">
      <c r="A12">
        <v>11</v>
      </c>
      <c r="B12">
        <v>11</v>
      </c>
      <c r="C12" t="s">
        <v>48</v>
      </c>
      <c r="D12">
        <v>1</v>
      </c>
      <c r="E12">
        <v>2</v>
      </c>
      <c r="F12">
        <v>4</v>
      </c>
      <c r="G12">
        <v>4</v>
      </c>
      <c r="H12">
        <v>0</v>
      </c>
      <c r="I12">
        <v>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0</v>
      </c>
      <c r="S12">
        <v>2</v>
      </c>
      <c r="T12">
        <v>0</v>
      </c>
      <c r="U12">
        <v>0</v>
      </c>
      <c r="V12">
        <v>2</v>
      </c>
      <c r="W12">
        <v>2</v>
      </c>
      <c r="X12">
        <v>0</v>
      </c>
      <c r="Z12">
        <v>0</v>
      </c>
      <c r="AA12">
        <v>0</v>
      </c>
    </row>
    <row r="13" spans="1:27" x14ac:dyDescent="0.4">
      <c r="A13">
        <v>12</v>
      </c>
      <c r="B13">
        <v>12</v>
      </c>
      <c r="C13" t="s">
        <v>49</v>
      </c>
      <c r="D13">
        <v>1</v>
      </c>
      <c r="E13">
        <v>2</v>
      </c>
      <c r="F13">
        <v>4</v>
      </c>
      <c r="G13">
        <v>4</v>
      </c>
      <c r="H13">
        <v>0</v>
      </c>
      <c r="I13">
        <v>7</v>
      </c>
      <c r="J13">
        <v>0</v>
      </c>
      <c r="K13">
        <v>3</v>
      </c>
      <c r="L13">
        <v>0</v>
      </c>
      <c r="M13">
        <v>0</v>
      </c>
      <c r="N13">
        <v>0</v>
      </c>
      <c r="O13">
        <v>0</v>
      </c>
      <c r="P13">
        <v>0</v>
      </c>
      <c r="Q13">
        <v>2</v>
      </c>
      <c r="R13">
        <v>0</v>
      </c>
      <c r="S13">
        <v>2</v>
      </c>
      <c r="T13">
        <v>1</v>
      </c>
      <c r="U13">
        <v>0</v>
      </c>
      <c r="V13">
        <v>2</v>
      </c>
      <c r="W13">
        <v>5</v>
      </c>
      <c r="X13">
        <v>0</v>
      </c>
      <c r="Z13">
        <v>0</v>
      </c>
      <c r="AA13">
        <v>0</v>
      </c>
    </row>
    <row r="14" spans="1:27" x14ac:dyDescent="0.4">
      <c r="A14">
        <v>13</v>
      </c>
      <c r="B14">
        <v>13</v>
      </c>
      <c r="C14" t="s">
        <v>51</v>
      </c>
      <c r="D14">
        <v>2</v>
      </c>
      <c r="E14">
        <v>3</v>
      </c>
      <c r="F14">
        <v>5</v>
      </c>
      <c r="G14">
        <v>5</v>
      </c>
      <c r="H14">
        <v>0</v>
      </c>
      <c r="I14">
        <v>0</v>
      </c>
      <c r="J14">
        <v>5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U14">
        <v>1</v>
      </c>
      <c r="V14">
        <v>1</v>
      </c>
      <c r="W14">
        <v>1</v>
      </c>
      <c r="X14">
        <v>0</v>
      </c>
      <c r="Z14">
        <v>0</v>
      </c>
      <c r="AA14">
        <v>0</v>
      </c>
    </row>
    <row r="15" spans="1:27" x14ac:dyDescent="0.4">
      <c r="A15">
        <v>14</v>
      </c>
      <c r="B15">
        <v>14</v>
      </c>
      <c r="C15" t="s">
        <v>52</v>
      </c>
      <c r="D15">
        <v>2</v>
      </c>
      <c r="E15">
        <v>3</v>
      </c>
      <c r="F15">
        <v>5</v>
      </c>
      <c r="G15">
        <v>5</v>
      </c>
      <c r="H15">
        <v>0</v>
      </c>
      <c r="I15">
        <v>0</v>
      </c>
      <c r="J15">
        <v>7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U15">
        <v>1</v>
      </c>
      <c r="V15">
        <v>2</v>
      </c>
      <c r="W15">
        <v>2</v>
      </c>
      <c r="X15">
        <v>0</v>
      </c>
      <c r="Z15">
        <v>0</v>
      </c>
      <c r="AA15">
        <v>0</v>
      </c>
    </row>
    <row r="16" spans="1:27" x14ac:dyDescent="0.4">
      <c r="A16">
        <v>15</v>
      </c>
      <c r="B16">
        <v>15</v>
      </c>
      <c r="C16" t="s">
        <v>53</v>
      </c>
      <c r="D16">
        <v>2</v>
      </c>
      <c r="E16">
        <v>3</v>
      </c>
      <c r="F16">
        <v>5</v>
      </c>
      <c r="G16">
        <v>5</v>
      </c>
      <c r="H16">
        <v>0</v>
      </c>
      <c r="I16">
        <v>0</v>
      </c>
      <c r="J16">
        <v>10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1</v>
      </c>
      <c r="U16">
        <v>2</v>
      </c>
      <c r="V16">
        <v>2</v>
      </c>
      <c r="W16">
        <v>2</v>
      </c>
      <c r="X16">
        <v>0</v>
      </c>
      <c r="Z16">
        <v>0</v>
      </c>
      <c r="AA16">
        <v>0</v>
      </c>
    </row>
    <row r="17" spans="1:27" x14ac:dyDescent="0.4">
      <c r="A17">
        <v>16</v>
      </c>
      <c r="B17">
        <v>16</v>
      </c>
      <c r="C17" t="s">
        <v>55</v>
      </c>
      <c r="D17">
        <v>3</v>
      </c>
      <c r="E17">
        <v>5</v>
      </c>
      <c r="F17">
        <v>8</v>
      </c>
      <c r="G17">
        <v>8</v>
      </c>
      <c r="H17">
        <v>1</v>
      </c>
      <c r="I17">
        <v>0</v>
      </c>
      <c r="J17">
        <v>5</v>
      </c>
      <c r="K17">
        <v>0</v>
      </c>
      <c r="L17">
        <v>0</v>
      </c>
      <c r="M17">
        <v>4</v>
      </c>
      <c r="N17">
        <v>0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1</v>
      </c>
      <c r="W17">
        <v>0</v>
      </c>
      <c r="X17">
        <v>2</v>
      </c>
      <c r="Z17">
        <v>4</v>
      </c>
      <c r="AA17">
        <v>5</v>
      </c>
    </row>
    <row r="18" spans="1:27" x14ac:dyDescent="0.4">
      <c r="A18">
        <v>17</v>
      </c>
      <c r="B18">
        <v>17</v>
      </c>
      <c r="C18" t="s">
        <v>57</v>
      </c>
      <c r="D18">
        <v>3</v>
      </c>
      <c r="E18">
        <v>5</v>
      </c>
      <c r="F18">
        <v>8</v>
      </c>
      <c r="G18">
        <v>8</v>
      </c>
      <c r="H18">
        <v>1</v>
      </c>
      <c r="I18">
        <v>0</v>
      </c>
      <c r="J18">
        <v>7</v>
      </c>
      <c r="K18">
        <v>0</v>
      </c>
      <c r="L18">
        <v>0</v>
      </c>
      <c r="M18">
        <v>3</v>
      </c>
      <c r="N18">
        <v>0</v>
      </c>
      <c r="O18">
        <v>1</v>
      </c>
      <c r="P18">
        <v>0</v>
      </c>
      <c r="Q18">
        <v>0</v>
      </c>
      <c r="R18">
        <v>0</v>
      </c>
      <c r="S18">
        <v>0</v>
      </c>
      <c r="T18">
        <v>1</v>
      </c>
      <c r="U18">
        <v>2</v>
      </c>
      <c r="V18">
        <v>4</v>
      </c>
      <c r="W18">
        <v>0</v>
      </c>
      <c r="X18">
        <v>4</v>
      </c>
      <c r="Z18">
        <v>5</v>
      </c>
      <c r="AA18">
        <v>6</v>
      </c>
    </row>
    <row r="19" spans="1:27" x14ac:dyDescent="0.4">
      <c r="A19">
        <v>18</v>
      </c>
      <c r="B19">
        <v>18</v>
      </c>
      <c r="C19" t="s">
        <v>58</v>
      </c>
      <c r="D19">
        <v>3</v>
      </c>
      <c r="E19">
        <v>5</v>
      </c>
      <c r="F19">
        <v>8</v>
      </c>
      <c r="G19">
        <v>8</v>
      </c>
      <c r="H19">
        <v>33</v>
      </c>
      <c r="I19">
        <v>0</v>
      </c>
      <c r="J19">
        <v>10</v>
      </c>
      <c r="K19">
        <v>1</v>
      </c>
      <c r="L19">
        <v>0</v>
      </c>
      <c r="M19">
        <v>4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2</v>
      </c>
      <c r="U19">
        <v>2</v>
      </c>
      <c r="V19">
        <v>5</v>
      </c>
      <c r="W19">
        <v>0</v>
      </c>
      <c r="X19">
        <v>10</v>
      </c>
      <c r="Z19">
        <v>6</v>
      </c>
      <c r="AA19">
        <v>7</v>
      </c>
    </row>
    <row r="20" spans="1:27" x14ac:dyDescent="0.4">
      <c r="A20">
        <v>19</v>
      </c>
      <c r="B20">
        <v>19</v>
      </c>
      <c r="C20" t="s">
        <v>60</v>
      </c>
      <c r="D20">
        <v>3</v>
      </c>
      <c r="E20">
        <v>5</v>
      </c>
      <c r="F20">
        <v>6</v>
      </c>
      <c r="G20">
        <v>6</v>
      </c>
      <c r="H20">
        <v>11</v>
      </c>
      <c r="I20">
        <v>0</v>
      </c>
      <c r="J20">
        <v>0</v>
      </c>
      <c r="K20">
        <v>3</v>
      </c>
      <c r="L20">
        <v>0</v>
      </c>
      <c r="M20">
        <v>0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V20">
        <v>1</v>
      </c>
      <c r="W20">
        <v>0</v>
      </c>
      <c r="X20">
        <v>1</v>
      </c>
      <c r="Z20">
        <v>3</v>
      </c>
      <c r="AA20">
        <v>3</v>
      </c>
    </row>
    <row r="21" spans="1:27" x14ac:dyDescent="0.4">
      <c r="A21">
        <v>20</v>
      </c>
      <c r="B21">
        <v>20</v>
      </c>
      <c r="C21" t="s">
        <v>61</v>
      </c>
      <c r="D21">
        <v>3</v>
      </c>
      <c r="E21">
        <v>5</v>
      </c>
      <c r="F21">
        <v>6</v>
      </c>
      <c r="G21">
        <v>6</v>
      </c>
      <c r="H21">
        <v>11</v>
      </c>
      <c r="I21">
        <v>0</v>
      </c>
      <c r="J21">
        <v>0</v>
      </c>
      <c r="K21">
        <v>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V21">
        <v>1</v>
      </c>
      <c r="W21">
        <v>0</v>
      </c>
      <c r="X21">
        <v>2</v>
      </c>
      <c r="Z21">
        <v>7</v>
      </c>
      <c r="AA21">
        <v>4</v>
      </c>
    </row>
    <row r="22" spans="1:27" x14ac:dyDescent="0.4">
      <c r="A22">
        <v>21</v>
      </c>
      <c r="B22">
        <v>21</v>
      </c>
      <c r="C22" t="s">
        <v>62</v>
      </c>
      <c r="D22">
        <v>3</v>
      </c>
      <c r="E22">
        <v>5</v>
      </c>
      <c r="F22">
        <v>6</v>
      </c>
      <c r="G22">
        <v>6</v>
      </c>
      <c r="H22">
        <v>12</v>
      </c>
      <c r="I22">
        <v>0</v>
      </c>
      <c r="J22">
        <v>0</v>
      </c>
      <c r="K22">
        <v>6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1</v>
      </c>
      <c r="V22">
        <v>2</v>
      </c>
      <c r="W22">
        <v>0</v>
      </c>
      <c r="X22">
        <v>3</v>
      </c>
      <c r="Z22">
        <v>6</v>
      </c>
      <c r="AA22">
        <v>5</v>
      </c>
    </row>
    <row r="23" spans="1:27" x14ac:dyDescent="0.4">
      <c r="A23">
        <v>22</v>
      </c>
      <c r="B23">
        <v>22</v>
      </c>
      <c r="C23" t="s">
        <v>63</v>
      </c>
      <c r="D23">
        <v>3</v>
      </c>
      <c r="E23">
        <v>5</v>
      </c>
      <c r="F23">
        <v>6</v>
      </c>
      <c r="G23">
        <v>6</v>
      </c>
      <c r="H23">
        <v>13</v>
      </c>
      <c r="I23">
        <v>0</v>
      </c>
      <c r="J23">
        <v>0</v>
      </c>
      <c r="K23">
        <v>10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3</v>
      </c>
      <c r="U23">
        <v>2</v>
      </c>
      <c r="V23">
        <v>2</v>
      </c>
      <c r="W23">
        <v>0</v>
      </c>
      <c r="X23">
        <v>9</v>
      </c>
      <c r="Z23">
        <v>5</v>
      </c>
      <c r="AA23">
        <v>7</v>
      </c>
    </row>
    <row r="24" spans="1:27" x14ac:dyDescent="0.4">
      <c r="A24">
        <v>23</v>
      </c>
      <c r="B24">
        <v>23</v>
      </c>
      <c r="C24" t="s">
        <v>66</v>
      </c>
      <c r="D24">
        <v>3</v>
      </c>
      <c r="E24">
        <v>5</v>
      </c>
      <c r="F24">
        <v>7</v>
      </c>
      <c r="G24">
        <v>7</v>
      </c>
      <c r="H24">
        <v>15</v>
      </c>
      <c r="I24">
        <v>0</v>
      </c>
      <c r="J24">
        <v>0</v>
      </c>
      <c r="K24">
        <v>0</v>
      </c>
      <c r="L24">
        <v>0</v>
      </c>
      <c r="M24">
        <v>3</v>
      </c>
      <c r="N24">
        <v>0</v>
      </c>
      <c r="O24">
        <v>0</v>
      </c>
      <c r="P24">
        <v>0</v>
      </c>
      <c r="Q24">
        <v>0</v>
      </c>
      <c r="R24">
        <v>5</v>
      </c>
      <c r="S24">
        <v>0</v>
      </c>
      <c r="T24">
        <v>0</v>
      </c>
      <c r="U24">
        <v>1</v>
      </c>
      <c r="V24">
        <v>1</v>
      </c>
      <c r="W24">
        <v>0</v>
      </c>
      <c r="X24">
        <v>2</v>
      </c>
      <c r="Z24">
        <v>4</v>
      </c>
      <c r="AA24">
        <v>4</v>
      </c>
    </row>
    <row r="25" spans="1:27" x14ac:dyDescent="0.4">
      <c r="A25">
        <v>24</v>
      </c>
      <c r="B25">
        <v>24</v>
      </c>
      <c r="C25" t="s">
        <v>67</v>
      </c>
      <c r="D25">
        <v>3</v>
      </c>
      <c r="E25">
        <v>5</v>
      </c>
      <c r="F25">
        <v>7</v>
      </c>
      <c r="G25">
        <v>7</v>
      </c>
      <c r="H25">
        <v>16</v>
      </c>
      <c r="I25">
        <v>0</v>
      </c>
      <c r="J25">
        <v>0</v>
      </c>
      <c r="K25">
        <v>0</v>
      </c>
      <c r="L25">
        <v>0</v>
      </c>
      <c r="M25">
        <v>3</v>
      </c>
      <c r="N25">
        <v>0</v>
      </c>
      <c r="O25">
        <v>0</v>
      </c>
      <c r="P25">
        <v>0</v>
      </c>
      <c r="Q25">
        <v>0</v>
      </c>
      <c r="R25">
        <v>8</v>
      </c>
      <c r="S25">
        <v>0</v>
      </c>
      <c r="T25">
        <v>1</v>
      </c>
      <c r="U25">
        <v>2</v>
      </c>
      <c r="V25">
        <v>3</v>
      </c>
      <c r="W25">
        <v>0</v>
      </c>
      <c r="X25">
        <v>3</v>
      </c>
      <c r="Z25">
        <v>4</v>
      </c>
      <c r="AA25">
        <v>5</v>
      </c>
    </row>
    <row r="26" spans="1:27" x14ac:dyDescent="0.4">
      <c r="A26">
        <v>25</v>
      </c>
      <c r="B26">
        <v>25</v>
      </c>
      <c r="C26" t="s">
        <v>69</v>
      </c>
      <c r="D26">
        <v>5</v>
      </c>
      <c r="E26">
        <v>7</v>
      </c>
      <c r="F26">
        <v>10</v>
      </c>
      <c r="G26">
        <v>10</v>
      </c>
      <c r="H26">
        <v>2</v>
      </c>
      <c r="I26">
        <v>0</v>
      </c>
      <c r="J26">
        <v>0</v>
      </c>
      <c r="K26">
        <v>1</v>
      </c>
      <c r="L26">
        <v>0</v>
      </c>
      <c r="M26">
        <v>2</v>
      </c>
      <c r="N26">
        <v>0</v>
      </c>
      <c r="O26">
        <v>5</v>
      </c>
      <c r="P26">
        <v>0</v>
      </c>
      <c r="Q26">
        <v>1</v>
      </c>
      <c r="R26">
        <v>1</v>
      </c>
      <c r="S26">
        <v>0</v>
      </c>
      <c r="T26">
        <v>0</v>
      </c>
      <c r="U26">
        <v>1</v>
      </c>
      <c r="V26">
        <v>1</v>
      </c>
      <c r="W26">
        <v>0</v>
      </c>
      <c r="X26">
        <v>2</v>
      </c>
      <c r="Z26">
        <v>7</v>
      </c>
      <c r="AA26">
        <v>5</v>
      </c>
    </row>
    <row r="27" spans="1:27" x14ac:dyDescent="0.4">
      <c r="A27">
        <v>26</v>
      </c>
      <c r="B27">
        <v>26</v>
      </c>
      <c r="C27" t="s">
        <v>71</v>
      </c>
      <c r="D27">
        <v>5</v>
      </c>
      <c r="E27">
        <v>43</v>
      </c>
      <c r="F27">
        <v>11</v>
      </c>
      <c r="G27">
        <v>10</v>
      </c>
      <c r="H27">
        <v>32</v>
      </c>
      <c r="I27">
        <v>0</v>
      </c>
      <c r="J27">
        <v>0</v>
      </c>
      <c r="K27">
        <v>2</v>
      </c>
      <c r="L27">
        <v>0</v>
      </c>
      <c r="M27">
        <v>4</v>
      </c>
      <c r="N27">
        <v>0</v>
      </c>
      <c r="O27">
        <v>6</v>
      </c>
      <c r="P27">
        <v>0</v>
      </c>
      <c r="Q27">
        <v>1</v>
      </c>
      <c r="R27">
        <v>4</v>
      </c>
      <c r="S27">
        <v>0</v>
      </c>
      <c r="T27">
        <v>1</v>
      </c>
      <c r="U27">
        <v>2</v>
      </c>
      <c r="V27">
        <v>3</v>
      </c>
      <c r="W27">
        <v>0</v>
      </c>
      <c r="X27">
        <v>5</v>
      </c>
      <c r="Z27">
        <v>5</v>
      </c>
      <c r="AA27">
        <v>6</v>
      </c>
    </row>
    <row r="28" spans="1:27" x14ac:dyDescent="0.4">
      <c r="A28">
        <v>27</v>
      </c>
      <c r="B28">
        <v>27</v>
      </c>
      <c r="C28" t="s">
        <v>73</v>
      </c>
      <c r="D28">
        <v>5</v>
      </c>
      <c r="E28">
        <v>8</v>
      </c>
      <c r="F28">
        <v>12</v>
      </c>
      <c r="G28">
        <v>11</v>
      </c>
      <c r="H28">
        <v>0</v>
      </c>
      <c r="I28">
        <v>0</v>
      </c>
      <c r="J28">
        <v>0</v>
      </c>
      <c r="K28">
        <v>2</v>
      </c>
      <c r="L28">
        <v>0</v>
      </c>
      <c r="M28">
        <v>0</v>
      </c>
      <c r="N28">
        <v>0</v>
      </c>
      <c r="O28">
        <v>3</v>
      </c>
      <c r="P28">
        <v>0</v>
      </c>
      <c r="Q28">
        <v>1</v>
      </c>
      <c r="R28">
        <v>0</v>
      </c>
      <c r="S28">
        <v>0</v>
      </c>
      <c r="T28">
        <v>1</v>
      </c>
      <c r="U28">
        <v>0</v>
      </c>
      <c r="V28">
        <v>0</v>
      </c>
      <c r="W28">
        <v>10</v>
      </c>
      <c r="X28">
        <v>10</v>
      </c>
      <c r="Z28">
        <v>0</v>
      </c>
      <c r="AA28">
        <v>0</v>
      </c>
    </row>
    <row r="29" spans="1:27" x14ac:dyDescent="0.4">
      <c r="A29">
        <v>28</v>
      </c>
      <c r="B29">
        <v>28</v>
      </c>
      <c r="C29" t="s">
        <v>74</v>
      </c>
      <c r="D29">
        <v>5</v>
      </c>
      <c r="E29">
        <v>8</v>
      </c>
      <c r="F29">
        <v>12</v>
      </c>
      <c r="G29">
        <v>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5</v>
      </c>
      <c r="P29">
        <v>0</v>
      </c>
      <c r="Q29">
        <v>3</v>
      </c>
      <c r="R29">
        <v>0</v>
      </c>
      <c r="S29">
        <v>0</v>
      </c>
      <c r="T29">
        <v>1</v>
      </c>
      <c r="U29">
        <v>0</v>
      </c>
      <c r="V29">
        <v>0</v>
      </c>
      <c r="W29">
        <v>15</v>
      </c>
      <c r="X29">
        <v>15</v>
      </c>
      <c r="Z29">
        <v>0</v>
      </c>
      <c r="AA29">
        <v>0</v>
      </c>
    </row>
    <row r="30" spans="1:27" x14ac:dyDescent="0.4">
      <c r="A30">
        <v>29</v>
      </c>
      <c r="B30">
        <v>29</v>
      </c>
      <c r="C30" t="s">
        <v>75</v>
      </c>
      <c r="D30">
        <v>5</v>
      </c>
      <c r="E30">
        <v>8</v>
      </c>
      <c r="F30">
        <v>12</v>
      </c>
      <c r="G30">
        <v>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7</v>
      </c>
      <c r="P30">
        <v>0</v>
      </c>
      <c r="Q30">
        <v>5</v>
      </c>
      <c r="R30">
        <v>0</v>
      </c>
      <c r="S30">
        <v>0</v>
      </c>
      <c r="T30">
        <v>2</v>
      </c>
      <c r="U30">
        <v>0</v>
      </c>
      <c r="V30">
        <v>0</v>
      </c>
      <c r="W30">
        <v>20</v>
      </c>
      <c r="X30">
        <v>15</v>
      </c>
      <c r="Z30">
        <v>0</v>
      </c>
      <c r="AA30">
        <v>0</v>
      </c>
    </row>
    <row r="31" spans="1:27" x14ac:dyDescent="0.4">
      <c r="A31">
        <v>30</v>
      </c>
      <c r="B31">
        <v>30</v>
      </c>
      <c r="C31" t="s">
        <v>77</v>
      </c>
      <c r="D31">
        <v>5</v>
      </c>
      <c r="E31">
        <v>8</v>
      </c>
      <c r="F31">
        <v>13</v>
      </c>
      <c r="G31">
        <v>11</v>
      </c>
      <c r="H31">
        <v>0</v>
      </c>
      <c r="I31">
        <v>0</v>
      </c>
      <c r="J31">
        <v>0</v>
      </c>
      <c r="K31">
        <v>4</v>
      </c>
      <c r="L31">
        <v>0</v>
      </c>
      <c r="M31">
        <v>0</v>
      </c>
      <c r="N31">
        <v>0</v>
      </c>
      <c r="O31">
        <v>4</v>
      </c>
      <c r="P31">
        <v>0</v>
      </c>
      <c r="Q31">
        <v>2</v>
      </c>
      <c r="R31">
        <v>0</v>
      </c>
      <c r="S31">
        <v>0</v>
      </c>
      <c r="T31">
        <v>2</v>
      </c>
      <c r="U31">
        <v>0</v>
      </c>
      <c r="V31">
        <v>0</v>
      </c>
      <c r="W31">
        <v>20</v>
      </c>
      <c r="X31">
        <v>20</v>
      </c>
      <c r="Z31">
        <v>0</v>
      </c>
      <c r="AA31">
        <v>0</v>
      </c>
    </row>
    <row r="32" spans="1:27" x14ac:dyDescent="0.4">
      <c r="A32">
        <v>31</v>
      </c>
      <c r="B32">
        <v>31</v>
      </c>
      <c r="C32" t="s">
        <v>78</v>
      </c>
      <c r="D32">
        <v>5</v>
      </c>
      <c r="E32">
        <v>8</v>
      </c>
      <c r="F32">
        <v>13</v>
      </c>
      <c r="G32">
        <v>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10</v>
      </c>
      <c r="P32">
        <v>0</v>
      </c>
      <c r="Q32">
        <v>8</v>
      </c>
      <c r="R32">
        <v>0</v>
      </c>
      <c r="S32">
        <v>0</v>
      </c>
      <c r="T32">
        <v>3</v>
      </c>
      <c r="U32">
        <v>0</v>
      </c>
      <c r="V32">
        <v>0</v>
      </c>
      <c r="W32">
        <v>20</v>
      </c>
      <c r="X32">
        <v>25</v>
      </c>
      <c r="Z32">
        <v>0</v>
      </c>
      <c r="AA32">
        <v>0</v>
      </c>
    </row>
    <row r="33" spans="1:27" x14ac:dyDescent="0.4">
      <c r="A33">
        <v>32</v>
      </c>
      <c r="B33">
        <v>32</v>
      </c>
      <c r="C33" t="s">
        <v>79</v>
      </c>
      <c r="D33">
        <v>5</v>
      </c>
      <c r="E33">
        <v>8</v>
      </c>
      <c r="F33">
        <v>13</v>
      </c>
      <c r="G33">
        <v>11</v>
      </c>
      <c r="H33">
        <v>0</v>
      </c>
      <c r="I33">
        <v>0</v>
      </c>
      <c r="J33">
        <v>0</v>
      </c>
      <c r="K33">
        <v>6</v>
      </c>
      <c r="L33">
        <v>0</v>
      </c>
      <c r="M33">
        <v>0</v>
      </c>
      <c r="N33">
        <v>0</v>
      </c>
      <c r="O33">
        <v>5</v>
      </c>
      <c r="P33">
        <v>0</v>
      </c>
      <c r="Q33">
        <v>4</v>
      </c>
      <c r="R33">
        <v>0</v>
      </c>
      <c r="S33">
        <v>0</v>
      </c>
      <c r="T33">
        <v>4</v>
      </c>
      <c r="U33">
        <v>0</v>
      </c>
      <c r="V33">
        <v>0</v>
      </c>
      <c r="W33">
        <v>25</v>
      </c>
      <c r="X33">
        <v>25</v>
      </c>
      <c r="Z33">
        <v>0</v>
      </c>
      <c r="AA33">
        <v>0</v>
      </c>
    </row>
    <row r="34" spans="1:27" x14ac:dyDescent="0.4">
      <c r="A34">
        <v>33</v>
      </c>
      <c r="B34">
        <v>33</v>
      </c>
      <c r="C34" t="s">
        <v>82</v>
      </c>
      <c r="D34">
        <v>6</v>
      </c>
      <c r="E34">
        <v>31</v>
      </c>
      <c r="F34">
        <v>17</v>
      </c>
      <c r="G34">
        <v>19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6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10</v>
      </c>
      <c r="V34">
        <v>0</v>
      </c>
      <c r="W34">
        <v>10</v>
      </c>
      <c r="X34">
        <v>0</v>
      </c>
      <c r="Z34">
        <v>0</v>
      </c>
      <c r="AA34">
        <v>0</v>
      </c>
    </row>
    <row r="35" spans="1:27" x14ac:dyDescent="0.4">
      <c r="A35">
        <v>34</v>
      </c>
      <c r="B35">
        <v>34</v>
      </c>
      <c r="C35" t="s">
        <v>83</v>
      </c>
      <c r="D35">
        <v>6</v>
      </c>
      <c r="E35">
        <v>31</v>
      </c>
      <c r="F35">
        <v>17</v>
      </c>
      <c r="G35">
        <v>19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10</v>
      </c>
      <c r="V35">
        <v>0</v>
      </c>
      <c r="W35">
        <v>20</v>
      </c>
      <c r="X35">
        <v>0</v>
      </c>
      <c r="Z35">
        <v>0</v>
      </c>
      <c r="AA35">
        <v>0</v>
      </c>
    </row>
    <row r="36" spans="1:27" x14ac:dyDescent="0.4">
      <c r="A36">
        <v>35</v>
      </c>
      <c r="B36">
        <v>35</v>
      </c>
      <c r="C36" t="s">
        <v>85</v>
      </c>
      <c r="D36">
        <v>4</v>
      </c>
      <c r="E36">
        <v>28</v>
      </c>
      <c r="F36">
        <v>18</v>
      </c>
      <c r="G36">
        <v>12</v>
      </c>
      <c r="H36">
        <v>0</v>
      </c>
      <c r="I36">
        <v>0</v>
      </c>
      <c r="J36">
        <v>0</v>
      </c>
      <c r="K36">
        <v>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9</v>
      </c>
      <c r="W36">
        <v>6</v>
      </c>
      <c r="X36">
        <v>3</v>
      </c>
      <c r="Z36">
        <v>0</v>
      </c>
      <c r="AA36">
        <v>0</v>
      </c>
    </row>
    <row r="37" spans="1:27" x14ac:dyDescent="0.4">
      <c r="A37">
        <v>36</v>
      </c>
      <c r="B37">
        <v>36</v>
      </c>
      <c r="C37" t="s">
        <v>87</v>
      </c>
      <c r="D37">
        <v>4</v>
      </c>
      <c r="E37">
        <v>25</v>
      </c>
      <c r="F37">
        <v>19</v>
      </c>
      <c r="G37">
        <v>13</v>
      </c>
      <c r="H37">
        <v>0</v>
      </c>
      <c r="I37">
        <v>8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</v>
      </c>
      <c r="R37">
        <v>0</v>
      </c>
      <c r="S37">
        <v>0</v>
      </c>
      <c r="T37">
        <v>1</v>
      </c>
      <c r="U37">
        <v>0</v>
      </c>
      <c r="V37">
        <v>3</v>
      </c>
      <c r="W37">
        <v>9</v>
      </c>
      <c r="X37">
        <v>0</v>
      </c>
      <c r="Z37">
        <v>0</v>
      </c>
      <c r="AA37">
        <v>0</v>
      </c>
    </row>
    <row r="38" spans="1:27" x14ac:dyDescent="0.4">
      <c r="A38">
        <v>37</v>
      </c>
      <c r="B38">
        <v>37</v>
      </c>
      <c r="C38" t="s">
        <v>89</v>
      </c>
      <c r="D38">
        <v>4</v>
      </c>
      <c r="E38">
        <v>6</v>
      </c>
      <c r="F38">
        <v>21</v>
      </c>
      <c r="G38">
        <v>15</v>
      </c>
      <c r="H38">
        <v>0</v>
      </c>
      <c r="I38">
        <v>0</v>
      </c>
      <c r="J38">
        <v>0</v>
      </c>
      <c r="K38">
        <v>2</v>
      </c>
      <c r="L38">
        <v>0</v>
      </c>
      <c r="M38">
        <v>0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1</v>
      </c>
      <c r="X38">
        <v>0</v>
      </c>
      <c r="Z38">
        <v>0</v>
      </c>
      <c r="AA38">
        <v>0</v>
      </c>
    </row>
    <row r="39" spans="1:27" x14ac:dyDescent="0.4">
      <c r="A39">
        <v>38</v>
      </c>
      <c r="B39">
        <v>38</v>
      </c>
      <c r="C39" t="s">
        <v>90</v>
      </c>
      <c r="D39">
        <v>4</v>
      </c>
      <c r="E39">
        <v>6</v>
      </c>
      <c r="F39">
        <v>21</v>
      </c>
      <c r="G39">
        <v>15</v>
      </c>
      <c r="H39">
        <v>0</v>
      </c>
      <c r="I39">
        <v>0</v>
      </c>
      <c r="J39">
        <v>0</v>
      </c>
      <c r="K39">
        <v>3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1</v>
      </c>
      <c r="X39">
        <v>0</v>
      </c>
      <c r="Z39">
        <v>0</v>
      </c>
      <c r="AA39">
        <v>0</v>
      </c>
    </row>
    <row r="40" spans="1:27" x14ac:dyDescent="0.4">
      <c r="A40">
        <v>39</v>
      </c>
      <c r="B40">
        <v>39</v>
      </c>
      <c r="C40" t="s">
        <v>91</v>
      </c>
      <c r="D40">
        <v>4</v>
      </c>
      <c r="E40">
        <v>6</v>
      </c>
      <c r="F40">
        <v>21</v>
      </c>
      <c r="G40">
        <v>15</v>
      </c>
      <c r="H40">
        <v>0</v>
      </c>
      <c r="I40">
        <v>0</v>
      </c>
      <c r="J40">
        <v>0</v>
      </c>
      <c r="K40">
        <v>5</v>
      </c>
      <c r="L40">
        <v>0</v>
      </c>
      <c r="M40">
        <v>0</v>
      </c>
      <c r="N40">
        <v>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2</v>
      </c>
      <c r="W40">
        <v>1</v>
      </c>
      <c r="X40">
        <v>0</v>
      </c>
      <c r="Z40">
        <v>0</v>
      </c>
      <c r="AA40">
        <v>0</v>
      </c>
    </row>
    <row r="41" spans="1:27" x14ac:dyDescent="0.4">
      <c r="A41">
        <v>40</v>
      </c>
      <c r="B41">
        <v>40</v>
      </c>
      <c r="C41" t="s">
        <v>92</v>
      </c>
      <c r="D41">
        <v>4</v>
      </c>
      <c r="E41">
        <v>6</v>
      </c>
      <c r="F41">
        <v>21</v>
      </c>
      <c r="G41">
        <v>15</v>
      </c>
      <c r="H41">
        <v>0</v>
      </c>
      <c r="I41">
        <v>0</v>
      </c>
      <c r="J41">
        <v>0</v>
      </c>
      <c r="K41">
        <v>6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3</v>
      </c>
      <c r="W41">
        <v>1</v>
      </c>
      <c r="X41">
        <v>0</v>
      </c>
      <c r="Z41">
        <v>0</v>
      </c>
      <c r="AA41">
        <v>0</v>
      </c>
    </row>
    <row r="42" spans="1:27" x14ac:dyDescent="0.4">
      <c r="A42">
        <v>41</v>
      </c>
      <c r="B42">
        <v>41</v>
      </c>
      <c r="C42" t="s">
        <v>94</v>
      </c>
      <c r="D42">
        <v>2</v>
      </c>
      <c r="E42">
        <v>4</v>
      </c>
      <c r="F42">
        <v>22</v>
      </c>
      <c r="G42">
        <v>5</v>
      </c>
      <c r="H42">
        <v>0</v>
      </c>
      <c r="I42">
        <v>0</v>
      </c>
      <c r="J42">
        <v>12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V42">
        <v>7</v>
      </c>
      <c r="W42">
        <v>7</v>
      </c>
      <c r="X42">
        <v>0</v>
      </c>
      <c r="Z42">
        <v>0</v>
      </c>
      <c r="AA42">
        <v>0</v>
      </c>
    </row>
    <row r="43" spans="1:27" x14ac:dyDescent="0.4">
      <c r="A43">
        <v>42</v>
      </c>
      <c r="B43">
        <v>42</v>
      </c>
      <c r="C43" t="s">
        <v>95</v>
      </c>
      <c r="D43">
        <v>6</v>
      </c>
      <c r="E43">
        <v>30</v>
      </c>
      <c r="F43">
        <v>23</v>
      </c>
      <c r="G43">
        <v>14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0</v>
      </c>
      <c r="Z43">
        <v>0</v>
      </c>
      <c r="AA43">
        <v>0</v>
      </c>
    </row>
    <row r="44" spans="1:27" x14ac:dyDescent="0.4">
      <c r="A44">
        <v>43</v>
      </c>
      <c r="B44">
        <v>43</v>
      </c>
      <c r="C44" t="s">
        <v>96</v>
      </c>
      <c r="D44">
        <v>6</v>
      </c>
      <c r="E44">
        <v>30</v>
      </c>
      <c r="F44">
        <v>23</v>
      </c>
      <c r="G44">
        <v>14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2</v>
      </c>
      <c r="U44">
        <v>0</v>
      </c>
      <c r="V44">
        <v>0</v>
      </c>
      <c r="W44">
        <v>1</v>
      </c>
      <c r="X44">
        <v>0</v>
      </c>
      <c r="Z44">
        <v>0</v>
      </c>
      <c r="AA44">
        <v>0</v>
      </c>
    </row>
    <row r="45" spans="1:27" x14ac:dyDescent="0.4">
      <c r="A45">
        <v>44</v>
      </c>
      <c r="B45">
        <v>44</v>
      </c>
      <c r="C45" t="s">
        <v>98</v>
      </c>
      <c r="D45">
        <v>7</v>
      </c>
      <c r="E45">
        <v>32</v>
      </c>
      <c r="F45">
        <v>15</v>
      </c>
      <c r="G45">
        <v>17</v>
      </c>
      <c r="H45">
        <v>0</v>
      </c>
      <c r="I45">
        <v>0</v>
      </c>
      <c r="J45">
        <v>0</v>
      </c>
      <c r="K45">
        <v>0</v>
      </c>
      <c r="L45">
        <v>0</v>
      </c>
      <c r="M45">
        <v>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2</v>
      </c>
      <c r="W45">
        <v>1</v>
      </c>
      <c r="X45">
        <v>1</v>
      </c>
      <c r="Z45">
        <v>0</v>
      </c>
      <c r="AA45">
        <v>0</v>
      </c>
    </row>
    <row r="46" spans="1:27" x14ac:dyDescent="0.4">
      <c r="A46">
        <v>45</v>
      </c>
      <c r="B46">
        <v>45</v>
      </c>
      <c r="C46" t="s">
        <v>99</v>
      </c>
      <c r="D46">
        <v>7</v>
      </c>
      <c r="E46">
        <v>32</v>
      </c>
      <c r="F46">
        <v>15</v>
      </c>
      <c r="G46">
        <v>17</v>
      </c>
      <c r="H46">
        <v>0</v>
      </c>
      <c r="I46">
        <v>0</v>
      </c>
      <c r="J46">
        <v>0</v>
      </c>
      <c r="K46">
        <v>0</v>
      </c>
      <c r="L46">
        <v>0</v>
      </c>
      <c r="M46">
        <v>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2</v>
      </c>
      <c r="U46">
        <v>0</v>
      </c>
      <c r="V46">
        <v>3</v>
      </c>
      <c r="W46">
        <v>1</v>
      </c>
      <c r="X46">
        <v>1</v>
      </c>
      <c r="Z46">
        <v>0</v>
      </c>
      <c r="AA46">
        <v>0</v>
      </c>
    </row>
    <row r="47" spans="1:27" x14ac:dyDescent="0.4">
      <c r="A47">
        <v>46</v>
      </c>
      <c r="B47">
        <v>46</v>
      </c>
      <c r="C47" t="s">
        <v>101</v>
      </c>
      <c r="D47">
        <v>7</v>
      </c>
      <c r="E47">
        <v>10</v>
      </c>
      <c r="F47">
        <v>14</v>
      </c>
      <c r="G47">
        <v>18</v>
      </c>
      <c r="H47">
        <v>0</v>
      </c>
      <c r="I47">
        <v>0</v>
      </c>
      <c r="J47">
        <v>0</v>
      </c>
      <c r="K47">
        <v>0</v>
      </c>
      <c r="L47">
        <v>0</v>
      </c>
      <c r="M47">
        <v>6</v>
      </c>
      <c r="N47">
        <v>0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1</v>
      </c>
      <c r="Z47">
        <v>0</v>
      </c>
      <c r="AA47">
        <v>0</v>
      </c>
    </row>
    <row r="48" spans="1:27" x14ac:dyDescent="0.4">
      <c r="A48">
        <v>47</v>
      </c>
      <c r="B48">
        <v>47</v>
      </c>
      <c r="C48" t="s">
        <v>102</v>
      </c>
      <c r="D48">
        <v>7</v>
      </c>
      <c r="E48">
        <v>10</v>
      </c>
      <c r="F48">
        <v>14</v>
      </c>
      <c r="G48">
        <v>18</v>
      </c>
      <c r="H48">
        <v>0</v>
      </c>
      <c r="I48">
        <v>0</v>
      </c>
      <c r="J48">
        <v>0</v>
      </c>
      <c r="K48">
        <v>0</v>
      </c>
      <c r="L48">
        <v>0</v>
      </c>
      <c r="M48">
        <v>10</v>
      </c>
      <c r="N48">
        <v>0</v>
      </c>
      <c r="O48">
        <v>0</v>
      </c>
      <c r="P48">
        <v>0</v>
      </c>
      <c r="Q48">
        <v>2</v>
      </c>
      <c r="R48">
        <v>0</v>
      </c>
      <c r="S48">
        <v>0</v>
      </c>
      <c r="T48">
        <v>2</v>
      </c>
      <c r="U48">
        <v>0</v>
      </c>
      <c r="V48">
        <v>0</v>
      </c>
      <c r="W48">
        <v>1</v>
      </c>
      <c r="X48">
        <v>2</v>
      </c>
      <c r="Z48">
        <v>0</v>
      </c>
      <c r="AA48">
        <v>0</v>
      </c>
    </row>
    <row r="49" spans="1:27" x14ac:dyDescent="0.4">
      <c r="A49">
        <v>48</v>
      </c>
      <c r="B49">
        <v>48</v>
      </c>
      <c r="C49" t="s">
        <v>103</v>
      </c>
      <c r="D49">
        <v>1</v>
      </c>
      <c r="E49">
        <v>1</v>
      </c>
      <c r="F49">
        <v>1</v>
      </c>
      <c r="G49">
        <v>16</v>
      </c>
      <c r="H49">
        <v>0</v>
      </c>
      <c r="I49">
        <v>1</v>
      </c>
      <c r="J49">
        <v>0</v>
      </c>
      <c r="K49">
        <v>3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U49">
        <v>0</v>
      </c>
      <c r="V49">
        <v>1</v>
      </c>
      <c r="W49">
        <v>1</v>
      </c>
      <c r="X49">
        <v>0</v>
      </c>
      <c r="Z49">
        <v>0</v>
      </c>
      <c r="AA49">
        <v>0</v>
      </c>
    </row>
    <row r="50" spans="1:27" x14ac:dyDescent="0.4">
      <c r="A50">
        <v>49</v>
      </c>
      <c r="B50">
        <v>49</v>
      </c>
      <c r="C50" t="s">
        <v>104</v>
      </c>
      <c r="D50">
        <v>4</v>
      </c>
      <c r="E50">
        <v>6</v>
      </c>
      <c r="F50">
        <v>21</v>
      </c>
      <c r="G50">
        <v>15</v>
      </c>
      <c r="H50">
        <v>0</v>
      </c>
      <c r="I50">
        <v>0</v>
      </c>
      <c r="J50">
        <v>0</v>
      </c>
      <c r="K50">
        <v>4</v>
      </c>
      <c r="L50">
        <v>0</v>
      </c>
      <c r="M50">
        <v>0</v>
      </c>
      <c r="N50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V50">
        <v>1</v>
      </c>
      <c r="W50">
        <v>1</v>
      </c>
      <c r="X50">
        <v>0</v>
      </c>
      <c r="Z50">
        <v>0</v>
      </c>
      <c r="AA50">
        <v>0</v>
      </c>
    </row>
    <row r="51" spans="1:27" x14ac:dyDescent="0.4">
      <c r="A51">
        <v>50</v>
      </c>
      <c r="B51">
        <v>50</v>
      </c>
      <c r="C51" t="s">
        <v>105</v>
      </c>
      <c r="D51">
        <v>1</v>
      </c>
      <c r="E51">
        <v>1</v>
      </c>
      <c r="F51">
        <v>2</v>
      </c>
      <c r="G51">
        <v>2</v>
      </c>
      <c r="H51">
        <v>0</v>
      </c>
      <c r="I51">
        <v>10</v>
      </c>
      <c r="J51">
        <v>0</v>
      </c>
      <c r="K51">
        <v>4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2</v>
      </c>
      <c r="T51">
        <v>1</v>
      </c>
      <c r="U51">
        <v>0</v>
      </c>
      <c r="V51">
        <v>3</v>
      </c>
      <c r="W51">
        <v>4</v>
      </c>
      <c r="X51">
        <v>0</v>
      </c>
      <c r="Z51">
        <v>0</v>
      </c>
      <c r="AA51">
        <v>0</v>
      </c>
    </row>
    <row r="52" spans="1:27" x14ac:dyDescent="0.4">
      <c r="A52">
        <v>51</v>
      </c>
      <c r="B52">
        <v>51</v>
      </c>
      <c r="C52" t="s">
        <v>106</v>
      </c>
      <c r="D52">
        <v>4</v>
      </c>
      <c r="E52">
        <v>29</v>
      </c>
      <c r="F52">
        <v>21</v>
      </c>
      <c r="G52">
        <v>15</v>
      </c>
      <c r="H52">
        <v>0</v>
      </c>
      <c r="I52">
        <v>0</v>
      </c>
      <c r="J52">
        <v>0</v>
      </c>
      <c r="K52">
        <v>8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2</v>
      </c>
      <c r="U52">
        <v>0</v>
      </c>
      <c r="V52">
        <v>4</v>
      </c>
      <c r="W52">
        <v>2</v>
      </c>
      <c r="X52">
        <v>2</v>
      </c>
      <c r="Z52">
        <v>0</v>
      </c>
      <c r="AA52">
        <v>0</v>
      </c>
    </row>
    <row r="53" spans="1:27" x14ac:dyDescent="0.4">
      <c r="A53">
        <v>52</v>
      </c>
      <c r="B53">
        <v>52</v>
      </c>
      <c r="C53" t="s">
        <v>107</v>
      </c>
      <c r="D53">
        <v>3</v>
      </c>
      <c r="E53">
        <v>5</v>
      </c>
      <c r="F53">
        <v>8</v>
      </c>
      <c r="G53">
        <v>8</v>
      </c>
      <c r="H53">
        <v>33</v>
      </c>
      <c r="I53">
        <v>0</v>
      </c>
      <c r="J53">
        <v>13</v>
      </c>
      <c r="K53">
        <v>1</v>
      </c>
      <c r="L53">
        <v>0</v>
      </c>
      <c r="M53">
        <v>3</v>
      </c>
      <c r="N53">
        <v>0</v>
      </c>
      <c r="O53">
        <v>2</v>
      </c>
      <c r="P53">
        <v>0</v>
      </c>
      <c r="Q53">
        <v>0</v>
      </c>
      <c r="R53">
        <v>0</v>
      </c>
      <c r="S53">
        <v>0</v>
      </c>
      <c r="T53">
        <v>3</v>
      </c>
      <c r="U53">
        <v>2</v>
      </c>
      <c r="V53">
        <v>6</v>
      </c>
      <c r="W53">
        <v>0</v>
      </c>
      <c r="X53">
        <v>10</v>
      </c>
      <c r="Z53">
        <v>6</v>
      </c>
      <c r="AA53">
        <v>8</v>
      </c>
    </row>
    <row r="54" spans="1:27" x14ac:dyDescent="0.4">
      <c r="A54">
        <v>53</v>
      </c>
      <c r="B54">
        <v>53</v>
      </c>
      <c r="C54" t="s">
        <v>108</v>
      </c>
      <c r="D54">
        <v>3</v>
      </c>
      <c r="E54">
        <v>5</v>
      </c>
      <c r="F54">
        <v>6</v>
      </c>
      <c r="G54">
        <v>6</v>
      </c>
      <c r="H54">
        <v>13</v>
      </c>
      <c r="I54">
        <v>0</v>
      </c>
      <c r="J54">
        <v>0</v>
      </c>
      <c r="K54">
        <v>12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4</v>
      </c>
      <c r="U54">
        <v>2</v>
      </c>
      <c r="V54">
        <v>2</v>
      </c>
      <c r="W54">
        <v>0</v>
      </c>
      <c r="X54">
        <v>10</v>
      </c>
      <c r="Z54">
        <v>5</v>
      </c>
      <c r="AA54">
        <v>8</v>
      </c>
    </row>
    <row r="55" spans="1:27" x14ac:dyDescent="0.4">
      <c r="A55">
        <v>54</v>
      </c>
      <c r="B55">
        <v>54</v>
      </c>
      <c r="C55" t="s">
        <v>110</v>
      </c>
      <c r="D55">
        <v>5</v>
      </c>
      <c r="E55">
        <v>7</v>
      </c>
      <c r="F55">
        <v>9</v>
      </c>
      <c r="G55">
        <v>9</v>
      </c>
      <c r="H55">
        <v>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9</v>
      </c>
      <c r="P55">
        <v>0</v>
      </c>
      <c r="Q55">
        <v>2</v>
      </c>
      <c r="R55">
        <v>0</v>
      </c>
      <c r="S55">
        <v>0</v>
      </c>
      <c r="T55">
        <v>2</v>
      </c>
      <c r="U55">
        <v>2</v>
      </c>
      <c r="V55">
        <v>0</v>
      </c>
      <c r="W55">
        <v>0</v>
      </c>
      <c r="X55">
        <v>11</v>
      </c>
      <c r="Z55">
        <v>8</v>
      </c>
      <c r="AA55">
        <v>9</v>
      </c>
    </row>
    <row r="56" spans="1:27" x14ac:dyDescent="0.4">
      <c r="A56">
        <v>55</v>
      </c>
      <c r="B56">
        <v>55</v>
      </c>
      <c r="C56" t="s">
        <v>111</v>
      </c>
      <c r="D56">
        <v>3</v>
      </c>
      <c r="E56">
        <v>5</v>
      </c>
      <c r="F56">
        <v>6</v>
      </c>
      <c r="G56">
        <v>6</v>
      </c>
      <c r="H56">
        <v>12</v>
      </c>
      <c r="I56">
        <v>0</v>
      </c>
      <c r="J56">
        <v>0</v>
      </c>
      <c r="K56">
        <v>9</v>
      </c>
      <c r="L56">
        <v>0</v>
      </c>
      <c r="M56">
        <v>0</v>
      </c>
      <c r="N56">
        <v>3</v>
      </c>
      <c r="O56">
        <v>0</v>
      </c>
      <c r="P56">
        <v>0</v>
      </c>
      <c r="Q56">
        <v>0</v>
      </c>
      <c r="R56">
        <v>0</v>
      </c>
      <c r="S56">
        <v>0</v>
      </c>
      <c r="T56">
        <v>2</v>
      </c>
      <c r="U56">
        <v>2</v>
      </c>
      <c r="V56">
        <v>2</v>
      </c>
      <c r="W56">
        <v>0</v>
      </c>
      <c r="X56">
        <v>7</v>
      </c>
      <c r="Z56">
        <v>3</v>
      </c>
      <c r="AA56">
        <v>6</v>
      </c>
    </row>
    <row r="57" spans="1:27" x14ac:dyDescent="0.4">
      <c r="A57">
        <v>56</v>
      </c>
      <c r="B57">
        <v>56</v>
      </c>
      <c r="C57" t="s">
        <v>112</v>
      </c>
      <c r="D57">
        <v>3</v>
      </c>
      <c r="E57">
        <v>5</v>
      </c>
      <c r="F57">
        <v>6</v>
      </c>
      <c r="G57">
        <v>6</v>
      </c>
      <c r="H57">
        <v>20</v>
      </c>
      <c r="I57">
        <v>0</v>
      </c>
      <c r="J57">
        <v>0</v>
      </c>
      <c r="K57">
        <v>15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5</v>
      </c>
      <c r="U57">
        <v>2</v>
      </c>
      <c r="V57">
        <v>3</v>
      </c>
      <c r="W57">
        <v>0</v>
      </c>
      <c r="X57">
        <v>28</v>
      </c>
      <c r="Z57">
        <v>2</v>
      </c>
      <c r="AA57">
        <v>9</v>
      </c>
    </row>
    <row r="58" spans="1:27" x14ac:dyDescent="0.4">
      <c r="A58">
        <v>57</v>
      </c>
      <c r="B58">
        <v>57</v>
      </c>
      <c r="C58" t="s">
        <v>114</v>
      </c>
      <c r="D58">
        <v>3</v>
      </c>
      <c r="E58">
        <v>5</v>
      </c>
      <c r="F58">
        <v>7</v>
      </c>
      <c r="G58">
        <v>7</v>
      </c>
      <c r="H58">
        <v>16</v>
      </c>
      <c r="I58">
        <v>0</v>
      </c>
      <c r="J58">
        <v>0</v>
      </c>
      <c r="K58">
        <v>0</v>
      </c>
      <c r="L58">
        <v>0</v>
      </c>
      <c r="M58">
        <v>3</v>
      </c>
      <c r="N58">
        <v>0</v>
      </c>
      <c r="O58">
        <v>1</v>
      </c>
      <c r="P58">
        <v>0</v>
      </c>
      <c r="Q58">
        <v>0</v>
      </c>
      <c r="R58">
        <v>10</v>
      </c>
      <c r="S58">
        <v>0</v>
      </c>
      <c r="T58">
        <v>2</v>
      </c>
      <c r="U58">
        <v>2</v>
      </c>
      <c r="V58">
        <v>3</v>
      </c>
      <c r="W58">
        <v>0</v>
      </c>
      <c r="X58">
        <v>4</v>
      </c>
      <c r="Z58">
        <v>5</v>
      </c>
      <c r="AA58">
        <v>6</v>
      </c>
    </row>
    <row r="59" spans="1:27" x14ac:dyDescent="0.4">
      <c r="A59">
        <v>58</v>
      </c>
      <c r="B59">
        <v>58</v>
      </c>
      <c r="C59" t="s">
        <v>115</v>
      </c>
      <c r="D59">
        <v>2</v>
      </c>
      <c r="E59">
        <v>3</v>
      </c>
      <c r="F59">
        <v>5</v>
      </c>
      <c r="G59">
        <v>5</v>
      </c>
      <c r="H59">
        <v>0</v>
      </c>
      <c r="I59">
        <v>0</v>
      </c>
      <c r="J59">
        <v>12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1</v>
      </c>
      <c r="T59">
        <v>2</v>
      </c>
      <c r="U59">
        <v>2</v>
      </c>
      <c r="V59">
        <v>3</v>
      </c>
      <c r="W59">
        <v>2</v>
      </c>
      <c r="X59">
        <v>0</v>
      </c>
      <c r="Z59">
        <v>0</v>
      </c>
      <c r="AA59">
        <v>0</v>
      </c>
    </row>
    <row r="60" spans="1:27" x14ac:dyDescent="0.4">
      <c r="A60">
        <v>59</v>
      </c>
      <c r="B60">
        <v>59</v>
      </c>
      <c r="C60" t="s">
        <v>116</v>
      </c>
      <c r="D60">
        <v>5</v>
      </c>
      <c r="E60">
        <v>7</v>
      </c>
      <c r="F60">
        <v>10</v>
      </c>
      <c r="G60">
        <v>10</v>
      </c>
      <c r="H60">
        <v>2</v>
      </c>
      <c r="I60">
        <v>0</v>
      </c>
      <c r="J60">
        <v>0</v>
      </c>
      <c r="K60">
        <v>2</v>
      </c>
      <c r="L60">
        <v>0</v>
      </c>
      <c r="M60">
        <v>4</v>
      </c>
      <c r="N60">
        <v>0</v>
      </c>
      <c r="O60">
        <v>6</v>
      </c>
      <c r="P60">
        <v>0</v>
      </c>
      <c r="Q60">
        <v>2</v>
      </c>
      <c r="R60">
        <v>1</v>
      </c>
      <c r="S60">
        <v>0</v>
      </c>
      <c r="T60">
        <v>1</v>
      </c>
      <c r="U60">
        <v>1</v>
      </c>
      <c r="V60">
        <v>1</v>
      </c>
      <c r="W60">
        <v>0</v>
      </c>
      <c r="X60">
        <v>2</v>
      </c>
      <c r="Z60">
        <v>3</v>
      </c>
      <c r="AA60">
        <v>6</v>
      </c>
    </row>
    <row r="61" spans="1:27" x14ac:dyDescent="0.4">
      <c r="A61">
        <v>60</v>
      </c>
      <c r="B61">
        <v>60</v>
      </c>
      <c r="C61" t="s">
        <v>117</v>
      </c>
      <c r="D61">
        <v>3</v>
      </c>
      <c r="E61">
        <v>5</v>
      </c>
      <c r="F61">
        <v>7</v>
      </c>
      <c r="G61">
        <v>7</v>
      </c>
      <c r="H61">
        <v>12</v>
      </c>
      <c r="I61">
        <v>0</v>
      </c>
      <c r="J61">
        <v>0</v>
      </c>
      <c r="K61">
        <v>4</v>
      </c>
      <c r="L61">
        <v>0</v>
      </c>
      <c r="M61">
        <v>3</v>
      </c>
      <c r="N61">
        <v>0</v>
      </c>
      <c r="O61">
        <v>0</v>
      </c>
      <c r="P61">
        <v>0</v>
      </c>
      <c r="Q61">
        <v>0</v>
      </c>
      <c r="R61">
        <v>4</v>
      </c>
      <c r="S61">
        <v>0</v>
      </c>
      <c r="T61">
        <v>2</v>
      </c>
      <c r="U61">
        <v>1</v>
      </c>
      <c r="V61">
        <v>3</v>
      </c>
      <c r="W61">
        <v>0</v>
      </c>
      <c r="X61">
        <v>3</v>
      </c>
      <c r="Z61">
        <v>4</v>
      </c>
      <c r="AA61">
        <v>5</v>
      </c>
    </row>
    <row r="62" spans="1:27" x14ac:dyDescent="0.4">
      <c r="A62">
        <v>61</v>
      </c>
      <c r="B62">
        <v>61</v>
      </c>
      <c r="C62" t="s">
        <v>118</v>
      </c>
      <c r="D62">
        <v>5</v>
      </c>
      <c r="E62">
        <v>7</v>
      </c>
      <c r="F62">
        <v>9</v>
      </c>
      <c r="G62">
        <v>9</v>
      </c>
      <c r="H62">
        <v>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7</v>
      </c>
      <c r="P62">
        <v>0</v>
      </c>
      <c r="Q62">
        <v>3</v>
      </c>
      <c r="R62">
        <v>0</v>
      </c>
      <c r="S62">
        <v>0</v>
      </c>
      <c r="T62">
        <v>1</v>
      </c>
      <c r="U62">
        <v>3</v>
      </c>
      <c r="V62">
        <v>1</v>
      </c>
      <c r="W62">
        <v>0</v>
      </c>
      <c r="X62">
        <v>13</v>
      </c>
      <c r="Z62">
        <v>5</v>
      </c>
      <c r="AA62">
        <v>6</v>
      </c>
    </row>
    <row r="63" spans="1:27" x14ac:dyDescent="0.4">
      <c r="A63">
        <v>62</v>
      </c>
      <c r="B63">
        <v>62</v>
      </c>
      <c r="C63" t="s">
        <v>119</v>
      </c>
      <c r="D63">
        <v>5</v>
      </c>
      <c r="E63">
        <v>43</v>
      </c>
      <c r="F63">
        <v>11</v>
      </c>
      <c r="G63">
        <v>10</v>
      </c>
      <c r="H63">
        <v>2</v>
      </c>
      <c r="I63">
        <v>0</v>
      </c>
      <c r="J63">
        <v>0</v>
      </c>
      <c r="K63">
        <v>0</v>
      </c>
      <c r="L63">
        <v>0</v>
      </c>
      <c r="M63">
        <v>6</v>
      </c>
      <c r="N63">
        <v>0</v>
      </c>
      <c r="O63">
        <v>6</v>
      </c>
      <c r="P63">
        <v>0</v>
      </c>
      <c r="Q63">
        <v>1</v>
      </c>
      <c r="R63">
        <v>11</v>
      </c>
      <c r="S63">
        <v>0</v>
      </c>
      <c r="T63">
        <v>4</v>
      </c>
      <c r="U63">
        <v>4</v>
      </c>
      <c r="V63">
        <v>5</v>
      </c>
      <c r="W63">
        <v>0</v>
      </c>
      <c r="X63">
        <v>20</v>
      </c>
      <c r="Z63">
        <v>4</v>
      </c>
      <c r="AA63">
        <v>10</v>
      </c>
    </row>
    <row r="64" spans="1:27" x14ac:dyDescent="0.4">
      <c r="A64">
        <v>63</v>
      </c>
      <c r="B64">
        <v>63</v>
      </c>
      <c r="C64" t="s">
        <v>120</v>
      </c>
      <c r="D64">
        <v>1</v>
      </c>
      <c r="E64">
        <v>1</v>
      </c>
      <c r="F64">
        <v>1</v>
      </c>
      <c r="G64">
        <v>1</v>
      </c>
      <c r="H64">
        <v>0</v>
      </c>
      <c r="I64">
        <v>3</v>
      </c>
      <c r="J64">
        <v>0</v>
      </c>
      <c r="K64">
        <v>2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</v>
      </c>
      <c r="T64">
        <v>1</v>
      </c>
      <c r="U64">
        <v>0</v>
      </c>
      <c r="V64">
        <v>1</v>
      </c>
      <c r="W64">
        <v>2</v>
      </c>
      <c r="X64">
        <v>0</v>
      </c>
      <c r="Z64">
        <v>0</v>
      </c>
      <c r="AA64">
        <v>0</v>
      </c>
    </row>
    <row r="65" spans="1:27" x14ac:dyDescent="0.4">
      <c r="A65">
        <v>64</v>
      </c>
      <c r="B65">
        <v>64</v>
      </c>
      <c r="C65" t="s">
        <v>121</v>
      </c>
      <c r="D65">
        <v>3</v>
      </c>
      <c r="E65">
        <v>5</v>
      </c>
      <c r="F65">
        <v>7</v>
      </c>
      <c r="G65">
        <v>7</v>
      </c>
      <c r="H65">
        <v>14</v>
      </c>
      <c r="I65">
        <v>0</v>
      </c>
      <c r="J65">
        <v>0</v>
      </c>
      <c r="K65">
        <v>0</v>
      </c>
      <c r="L65">
        <v>0</v>
      </c>
      <c r="M65">
        <v>5</v>
      </c>
      <c r="N65">
        <v>0</v>
      </c>
      <c r="O65">
        <v>0</v>
      </c>
      <c r="P65">
        <v>0</v>
      </c>
      <c r="Q65">
        <v>1</v>
      </c>
      <c r="R65">
        <v>9</v>
      </c>
      <c r="S65">
        <v>0</v>
      </c>
      <c r="T65">
        <v>3</v>
      </c>
      <c r="U65">
        <v>2</v>
      </c>
      <c r="V65">
        <v>4</v>
      </c>
      <c r="W65">
        <v>0</v>
      </c>
      <c r="X65">
        <v>5</v>
      </c>
      <c r="Z65">
        <v>4</v>
      </c>
      <c r="AA65">
        <v>6</v>
      </c>
    </row>
    <row r="66" spans="1:27" x14ac:dyDescent="0.4">
      <c r="A66">
        <v>65</v>
      </c>
      <c r="B66">
        <v>65</v>
      </c>
      <c r="C66" t="s">
        <v>122</v>
      </c>
      <c r="D66">
        <v>1</v>
      </c>
      <c r="E66">
        <v>1</v>
      </c>
      <c r="F66">
        <v>2</v>
      </c>
      <c r="G66">
        <v>2</v>
      </c>
      <c r="H66">
        <v>0</v>
      </c>
      <c r="I66">
        <v>5</v>
      </c>
      <c r="J66">
        <v>0</v>
      </c>
      <c r="K66">
        <v>3</v>
      </c>
      <c r="L66">
        <v>0</v>
      </c>
      <c r="M66">
        <v>0</v>
      </c>
      <c r="N66">
        <v>0</v>
      </c>
      <c r="O66">
        <v>0</v>
      </c>
      <c r="P66">
        <v>0</v>
      </c>
      <c r="Q66">
        <v>3</v>
      </c>
      <c r="R66">
        <v>0</v>
      </c>
      <c r="S66">
        <v>2</v>
      </c>
      <c r="T66">
        <v>2</v>
      </c>
      <c r="U66">
        <v>0</v>
      </c>
      <c r="V66">
        <v>2</v>
      </c>
      <c r="W66">
        <v>3</v>
      </c>
      <c r="X66">
        <v>0</v>
      </c>
      <c r="Z66">
        <v>0</v>
      </c>
      <c r="AA66">
        <v>0</v>
      </c>
    </row>
    <row r="67" spans="1:27" x14ac:dyDescent="0.4">
      <c r="A67">
        <v>66</v>
      </c>
      <c r="B67">
        <v>66</v>
      </c>
      <c r="C67" t="s">
        <v>123</v>
      </c>
      <c r="D67">
        <v>1</v>
      </c>
      <c r="E67">
        <v>2</v>
      </c>
      <c r="F67">
        <v>4</v>
      </c>
      <c r="G67">
        <v>16</v>
      </c>
      <c r="H67">
        <v>0</v>
      </c>
      <c r="I67">
        <v>1</v>
      </c>
      <c r="J67">
        <v>0</v>
      </c>
      <c r="K67">
        <v>6</v>
      </c>
      <c r="L67">
        <v>0</v>
      </c>
      <c r="M67">
        <v>0</v>
      </c>
      <c r="N67">
        <v>0</v>
      </c>
      <c r="O67">
        <v>0</v>
      </c>
      <c r="P67">
        <v>0</v>
      </c>
      <c r="Q67">
        <v>2</v>
      </c>
      <c r="R67">
        <v>0</v>
      </c>
      <c r="S67">
        <v>1</v>
      </c>
      <c r="T67">
        <v>3</v>
      </c>
      <c r="U67">
        <v>0</v>
      </c>
      <c r="V67">
        <v>1</v>
      </c>
      <c r="W67">
        <v>2</v>
      </c>
      <c r="X67">
        <v>0</v>
      </c>
      <c r="Z67">
        <v>0</v>
      </c>
      <c r="AA67">
        <v>0</v>
      </c>
    </row>
    <row r="68" spans="1:27" x14ac:dyDescent="0.4">
      <c r="A68">
        <v>67</v>
      </c>
      <c r="B68">
        <v>67</v>
      </c>
      <c r="C68" t="s">
        <v>124</v>
      </c>
      <c r="D68">
        <v>2</v>
      </c>
      <c r="E68">
        <v>3</v>
      </c>
      <c r="F68">
        <v>5</v>
      </c>
      <c r="G68">
        <v>5</v>
      </c>
      <c r="H68">
        <v>0</v>
      </c>
      <c r="I68">
        <v>0</v>
      </c>
      <c r="J68">
        <v>15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1</v>
      </c>
      <c r="T68">
        <v>1</v>
      </c>
      <c r="U68">
        <v>2</v>
      </c>
      <c r="V68">
        <v>2</v>
      </c>
      <c r="W68">
        <v>2</v>
      </c>
      <c r="X68">
        <v>0</v>
      </c>
      <c r="Z68">
        <v>0</v>
      </c>
      <c r="AA68">
        <v>0</v>
      </c>
    </row>
    <row r="69" spans="1:27" x14ac:dyDescent="0.4">
      <c r="A69">
        <v>68</v>
      </c>
      <c r="B69">
        <v>68</v>
      </c>
      <c r="C69" t="s">
        <v>126</v>
      </c>
      <c r="D69">
        <v>8</v>
      </c>
      <c r="E69">
        <v>14</v>
      </c>
      <c r="F69">
        <v>24</v>
      </c>
      <c r="G69">
        <v>20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0</v>
      </c>
      <c r="X69">
        <v>1</v>
      </c>
      <c r="Z69">
        <v>0</v>
      </c>
      <c r="AA69">
        <v>0</v>
      </c>
    </row>
    <row r="70" spans="1:27" x14ac:dyDescent="0.4">
      <c r="A70">
        <v>69</v>
      </c>
      <c r="B70">
        <v>69</v>
      </c>
      <c r="C70" t="s">
        <v>128</v>
      </c>
      <c r="D70">
        <v>3</v>
      </c>
      <c r="E70">
        <v>15</v>
      </c>
      <c r="F70">
        <v>25</v>
      </c>
      <c r="G70">
        <v>21</v>
      </c>
      <c r="H70">
        <v>0</v>
      </c>
      <c r="I70">
        <v>0</v>
      </c>
      <c r="J70">
        <v>0</v>
      </c>
      <c r="K70">
        <v>0</v>
      </c>
      <c r="L70">
        <v>0</v>
      </c>
      <c r="M70">
        <v>9</v>
      </c>
      <c r="N70">
        <v>0</v>
      </c>
      <c r="O70">
        <v>0</v>
      </c>
      <c r="P70">
        <v>0</v>
      </c>
      <c r="Q70">
        <v>1</v>
      </c>
      <c r="R70">
        <v>0</v>
      </c>
      <c r="S70">
        <v>0</v>
      </c>
      <c r="T70">
        <v>3</v>
      </c>
      <c r="U70">
        <v>1</v>
      </c>
      <c r="V70">
        <v>1</v>
      </c>
      <c r="W70">
        <v>0</v>
      </c>
      <c r="X70">
        <v>4</v>
      </c>
      <c r="Z70">
        <v>0</v>
      </c>
      <c r="AA70">
        <v>0</v>
      </c>
    </row>
    <row r="71" spans="1:27" x14ac:dyDescent="0.4">
      <c r="A71">
        <v>70</v>
      </c>
      <c r="B71">
        <v>70</v>
      </c>
      <c r="C71" t="s">
        <v>130</v>
      </c>
      <c r="D71">
        <v>3</v>
      </c>
      <c r="E71">
        <v>16</v>
      </c>
      <c r="F71">
        <v>26</v>
      </c>
      <c r="G71">
        <v>22</v>
      </c>
      <c r="H71">
        <v>0</v>
      </c>
      <c r="I71">
        <v>0</v>
      </c>
      <c r="J71">
        <v>0</v>
      </c>
      <c r="K71">
        <v>0</v>
      </c>
      <c r="L71">
        <v>0</v>
      </c>
      <c r="M71">
        <v>7</v>
      </c>
      <c r="N71">
        <v>0</v>
      </c>
      <c r="O71">
        <v>1</v>
      </c>
      <c r="P71">
        <v>0</v>
      </c>
      <c r="Q71">
        <v>2</v>
      </c>
      <c r="R71">
        <v>0</v>
      </c>
      <c r="S71">
        <v>0</v>
      </c>
      <c r="T71">
        <v>1</v>
      </c>
      <c r="U71">
        <v>1</v>
      </c>
      <c r="V71">
        <v>1</v>
      </c>
      <c r="W71">
        <v>0</v>
      </c>
      <c r="X71">
        <v>2</v>
      </c>
      <c r="Z71">
        <v>0</v>
      </c>
      <c r="AA71">
        <v>0</v>
      </c>
    </row>
    <row r="72" spans="1:27" x14ac:dyDescent="0.4">
      <c r="A72">
        <v>71</v>
      </c>
      <c r="B72">
        <v>71</v>
      </c>
      <c r="C72" t="s">
        <v>131</v>
      </c>
      <c r="D72">
        <v>1</v>
      </c>
      <c r="E72">
        <v>2</v>
      </c>
      <c r="F72">
        <v>4</v>
      </c>
      <c r="G72">
        <v>16</v>
      </c>
      <c r="H72">
        <v>0</v>
      </c>
      <c r="I72">
        <v>1</v>
      </c>
      <c r="J72">
        <v>0</v>
      </c>
      <c r="K72">
        <v>7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1</v>
      </c>
      <c r="T72">
        <v>3</v>
      </c>
      <c r="U72">
        <v>0</v>
      </c>
      <c r="V72">
        <v>1</v>
      </c>
      <c r="W72">
        <v>3</v>
      </c>
      <c r="X72">
        <v>0</v>
      </c>
      <c r="Z72">
        <v>0</v>
      </c>
      <c r="AA72">
        <v>0</v>
      </c>
    </row>
    <row r="73" spans="1:27" x14ac:dyDescent="0.4">
      <c r="A73">
        <v>72</v>
      </c>
      <c r="B73">
        <v>72</v>
      </c>
      <c r="C73" t="s">
        <v>133</v>
      </c>
      <c r="D73">
        <v>6</v>
      </c>
      <c r="E73">
        <v>17</v>
      </c>
      <c r="F73">
        <v>27</v>
      </c>
      <c r="G73">
        <v>23</v>
      </c>
      <c r="H73">
        <v>0</v>
      </c>
      <c r="I73">
        <v>0</v>
      </c>
      <c r="J73">
        <v>0</v>
      </c>
      <c r="K73">
        <v>0</v>
      </c>
      <c r="L73">
        <v>7</v>
      </c>
      <c r="M73">
        <v>0</v>
      </c>
      <c r="N73">
        <v>-2</v>
      </c>
      <c r="O73">
        <v>0</v>
      </c>
      <c r="P73">
        <v>0</v>
      </c>
      <c r="Q73">
        <v>0</v>
      </c>
      <c r="R73">
        <v>0</v>
      </c>
      <c r="S73">
        <v>0</v>
      </c>
      <c r="T73">
        <v>2</v>
      </c>
      <c r="U73">
        <v>0</v>
      </c>
      <c r="V73">
        <v>0</v>
      </c>
      <c r="W73">
        <v>12</v>
      </c>
      <c r="X73">
        <v>0</v>
      </c>
      <c r="Z73">
        <v>0</v>
      </c>
      <c r="AA73">
        <v>0</v>
      </c>
    </row>
    <row r="74" spans="1:27" x14ac:dyDescent="0.4">
      <c r="A74">
        <v>73</v>
      </c>
      <c r="B74">
        <v>73</v>
      </c>
      <c r="C74" t="s">
        <v>135</v>
      </c>
      <c r="D74">
        <v>6</v>
      </c>
      <c r="E74">
        <v>17</v>
      </c>
      <c r="F74">
        <v>28</v>
      </c>
      <c r="G74">
        <v>23</v>
      </c>
      <c r="H74">
        <v>0</v>
      </c>
      <c r="I74">
        <v>0</v>
      </c>
      <c r="J74">
        <v>0</v>
      </c>
      <c r="K74">
        <v>0</v>
      </c>
      <c r="L74">
        <v>9</v>
      </c>
      <c r="M74">
        <v>0</v>
      </c>
      <c r="N74">
        <v>-3</v>
      </c>
      <c r="O74">
        <v>0</v>
      </c>
      <c r="P74">
        <v>0</v>
      </c>
      <c r="Q74">
        <v>0</v>
      </c>
      <c r="R74">
        <v>0</v>
      </c>
      <c r="S74">
        <v>0</v>
      </c>
      <c r="T74">
        <v>2</v>
      </c>
      <c r="U74">
        <v>0</v>
      </c>
      <c r="V74">
        <v>0</v>
      </c>
      <c r="W74">
        <v>30</v>
      </c>
      <c r="X74">
        <v>0</v>
      </c>
      <c r="Z74">
        <v>0</v>
      </c>
      <c r="AA74">
        <v>0</v>
      </c>
    </row>
    <row r="75" spans="1:27" x14ac:dyDescent="0.4">
      <c r="A75">
        <v>74</v>
      </c>
      <c r="B75">
        <v>74</v>
      </c>
      <c r="C75" t="s">
        <v>136</v>
      </c>
      <c r="D75">
        <v>8</v>
      </c>
      <c r="E75">
        <v>18</v>
      </c>
      <c r="F75">
        <v>29</v>
      </c>
      <c r="G75">
        <v>24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2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Z75">
        <v>0</v>
      </c>
      <c r="AA75">
        <v>0</v>
      </c>
    </row>
    <row r="76" spans="1:27" x14ac:dyDescent="0.4">
      <c r="A76">
        <v>75</v>
      </c>
      <c r="B76">
        <v>75</v>
      </c>
      <c r="C76" t="s">
        <v>138</v>
      </c>
      <c r="D76">
        <v>9</v>
      </c>
      <c r="E76">
        <v>19</v>
      </c>
      <c r="F76">
        <v>30</v>
      </c>
      <c r="G76">
        <v>25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Z76">
        <v>0</v>
      </c>
      <c r="AA76">
        <v>0</v>
      </c>
    </row>
    <row r="77" spans="1:27" x14ac:dyDescent="0.4">
      <c r="A77">
        <v>76</v>
      </c>
      <c r="B77">
        <v>76</v>
      </c>
      <c r="C77" t="s">
        <v>139</v>
      </c>
      <c r="D77">
        <v>1</v>
      </c>
      <c r="E77">
        <v>1</v>
      </c>
      <c r="F77">
        <v>3</v>
      </c>
      <c r="G77">
        <v>3</v>
      </c>
      <c r="H77">
        <v>0</v>
      </c>
      <c r="I77">
        <v>16</v>
      </c>
      <c r="J77">
        <v>0</v>
      </c>
      <c r="K77">
        <v>1</v>
      </c>
      <c r="L77">
        <v>0</v>
      </c>
      <c r="M77">
        <v>0</v>
      </c>
      <c r="N77">
        <v>0</v>
      </c>
      <c r="O77">
        <v>0</v>
      </c>
      <c r="P77">
        <v>0</v>
      </c>
      <c r="Q77">
        <v>1</v>
      </c>
      <c r="R77">
        <v>0</v>
      </c>
      <c r="S77">
        <v>3</v>
      </c>
      <c r="T77">
        <v>0</v>
      </c>
      <c r="U77">
        <v>0</v>
      </c>
      <c r="V77">
        <v>11</v>
      </c>
      <c r="W77">
        <v>18</v>
      </c>
      <c r="X77">
        <v>0</v>
      </c>
      <c r="Z77">
        <v>0</v>
      </c>
      <c r="AA77">
        <v>0</v>
      </c>
    </row>
    <row r="78" spans="1:27" x14ac:dyDescent="0.4">
      <c r="A78">
        <v>77</v>
      </c>
      <c r="B78">
        <v>77</v>
      </c>
      <c r="C78" t="s">
        <v>140</v>
      </c>
      <c r="D78">
        <v>1</v>
      </c>
      <c r="E78">
        <v>2</v>
      </c>
      <c r="F78">
        <v>4</v>
      </c>
      <c r="G78">
        <v>4</v>
      </c>
      <c r="H78">
        <v>0</v>
      </c>
      <c r="I78">
        <v>4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2</v>
      </c>
      <c r="R78">
        <v>0</v>
      </c>
      <c r="S78">
        <v>2</v>
      </c>
      <c r="T78">
        <v>0</v>
      </c>
      <c r="U78">
        <v>0</v>
      </c>
      <c r="V78">
        <v>2</v>
      </c>
      <c r="W78">
        <v>4</v>
      </c>
      <c r="X78">
        <v>0</v>
      </c>
      <c r="Z78">
        <v>0</v>
      </c>
      <c r="AA78">
        <v>0</v>
      </c>
    </row>
    <row r="79" spans="1:27" x14ac:dyDescent="0.4">
      <c r="A79">
        <v>78</v>
      </c>
      <c r="B79">
        <v>78</v>
      </c>
      <c r="C79" t="s">
        <v>141</v>
      </c>
      <c r="D79">
        <v>1</v>
      </c>
      <c r="E79">
        <v>1</v>
      </c>
      <c r="F79">
        <v>1</v>
      </c>
      <c r="G79">
        <v>1</v>
      </c>
      <c r="H79">
        <v>0</v>
      </c>
      <c r="I79">
        <v>2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1</v>
      </c>
      <c r="T79">
        <v>0</v>
      </c>
      <c r="U79">
        <v>0</v>
      </c>
      <c r="V79">
        <v>1</v>
      </c>
      <c r="W79">
        <v>1</v>
      </c>
      <c r="X79">
        <v>0</v>
      </c>
      <c r="Z79">
        <v>0</v>
      </c>
      <c r="AA79">
        <v>0</v>
      </c>
    </row>
    <row r="80" spans="1:27" x14ac:dyDescent="0.4">
      <c r="A80">
        <v>79</v>
      </c>
      <c r="B80">
        <v>79</v>
      </c>
      <c r="C80" t="s">
        <v>142</v>
      </c>
      <c r="D80">
        <v>5</v>
      </c>
      <c r="E80">
        <v>43</v>
      </c>
      <c r="F80">
        <v>11</v>
      </c>
      <c r="G80">
        <v>10</v>
      </c>
      <c r="H80">
        <v>32</v>
      </c>
      <c r="I80">
        <v>0</v>
      </c>
      <c r="J80">
        <v>0</v>
      </c>
      <c r="K80">
        <v>2</v>
      </c>
      <c r="L80">
        <v>0</v>
      </c>
      <c r="M80">
        <v>5</v>
      </c>
      <c r="N80">
        <v>0</v>
      </c>
      <c r="O80">
        <v>6</v>
      </c>
      <c r="P80">
        <v>0</v>
      </c>
      <c r="Q80">
        <v>1</v>
      </c>
      <c r="R80">
        <v>6</v>
      </c>
      <c r="S80">
        <v>0</v>
      </c>
      <c r="T80">
        <v>2</v>
      </c>
      <c r="U80">
        <v>2</v>
      </c>
      <c r="V80">
        <v>3</v>
      </c>
      <c r="W80">
        <v>0</v>
      </c>
      <c r="X80">
        <v>5</v>
      </c>
      <c r="Z80">
        <v>5</v>
      </c>
      <c r="AA80">
        <v>6</v>
      </c>
    </row>
    <row r="81" spans="1:27" x14ac:dyDescent="0.4">
      <c r="A81">
        <v>80</v>
      </c>
      <c r="B81">
        <v>80</v>
      </c>
      <c r="C81" t="s">
        <v>143</v>
      </c>
      <c r="D81">
        <v>5</v>
      </c>
      <c r="E81">
        <v>43</v>
      </c>
      <c r="F81">
        <v>11</v>
      </c>
      <c r="G81">
        <v>10</v>
      </c>
      <c r="H81">
        <v>32</v>
      </c>
      <c r="I81">
        <v>0</v>
      </c>
      <c r="J81">
        <v>0</v>
      </c>
      <c r="K81">
        <v>3</v>
      </c>
      <c r="L81">
        <v>0</v>
      </c>
      <c r="M81">
        <v>5</v>
      </c>
      <c r="N81">
        <v>0</v>
      </c>
      <c r="O81">
        <v>6</v>
      </c>
      <c r="P81">
        <v>0</v>
      </c>
      <c r="Q81">
        <v>1</v>
      </c>
      <c r="R81">
        <v>7</v>
      </c>
      <c r="S81">
        <v>0</v>
      </c>
      <c r="T81">
        <v>3</v>
      </c>
      <c r="U81">
        <v>2</v>
      </c>
      <c r="V81">
        <v>3</v>
      </c>
      <c r="W81">
        <v>0</v>
      </c>
      <c r="X81">
        <v>6</v>
      </c>
      <c r="Z81">
        <v>5</v>
      </c>
      <c r="AA81">
        <v>7</v>
      </c>
    </row>
    <row r="82" spans="1:27" x14ac:dyDescent="0.4">
      <c r="A82">
        <v>81</v>
      </c>
      <c r="B82">
        <v>81</v>
      </c>
      <c r="C82" t="s">
        <v>144</v>
      </c>
      <c r="D82">
        <v>5</v>
      </c>
      <c r="E82">
        <v>43</v>
      </c>
      <c r="F82">
        <v>11</v>
      </c>
      <c r="G82">
        <v>10</v>
      </c>
      <c r="H82">
        <v>32</v>
      </c>
      <c r="I82">
        <v>0</v>
      </c>
      <c r="J82">
        <v>0</v>
      </c>
      <c r="K82">
        <v>3</v>
      </c>
      <c r="L82">
        <v>0</v>
      </c>
      <c r="M82">
        <v>6</v>
      </c>
      <c r="N82">
        <v>0</v>
      </c>
      <c r="O82">
        <v>7</v>
      </c>
      <c r="P82">
        <v>0</v>
      </c>
      <c r="Q82">
        <v>1</v>
      </c>
      <c r="R82">
        <v>9</v>
      </c>
      <c r="S82">
        <v>0</v>
      </c>
      <c r="T82">
        <v>4</v>
      </c>
      <c r="U82">
        <v>2</v>
      </c>
      <c r="V82">
        <v>3</v>
      </c>
      <c r="W82">
        <v>0</v>
      </c>
      <c r="X82">
        <v>6</v>
      </c>
      <c r="Z82">
        <v>5</v>
      </c>
      <c r="AA82">
        <v>7</v>
      </c>
    </row>
    <row r="83" spans="1:27" x14ac:dyDescent="0.4">
      <c r="A83">
        <v>82</v>
      </c>
      <c r="B83">
        <v>82</v>
      </c>
      <c r="C83" t="s">
        <v>145</v>
      </c>
      <c r="D83">
        <v>3</v>
      </c>
      <c r="E83">
        <v>5</v>
      </c>
      <c r="F83">
        <v>8</v>
      </c>
      <c r="G83">
        <v>8</v>
      </c>
      <c r="H83">
        <v>1</v>
      </c>
      <c r="I83">
        <v>0</v>
      </c>
      <c r="J83">
        <v>6</v>
      </c>
      <c r="K83">
        <v>0</v>
      </c>
      <c r="L83">
        <v>0</v>
      </c>
      <c r="M83">
        <v>7</v>
      </c>
      <c r="N83">
        <v>0</v>
      </c>
      <c r="O83">
        <v>2</v>
      </c>
      <c r="P83">
        <v>0</v>
      </c>
      <c r="Q83">
        <v>0</v>
      </c>
      <c r="R83">
        <v>0</v>
      </c>
      <c r="S83">
        <v>0</v>
      </c>
      <c r="T83">
        <v>2</v>
      </c>
      <c r="U83">
        <v>2</v>
      </c>
      <c r="V83">
        <v>3</v>
      </c>
      <c r="W83">
        <v>0</v>
      </c>
      <c r="X83">
        <v>4</v>
      </c>
      <c r="Z83">
        <v>4</v>
      </c>
      <c r="AA83">
        <v>5</v>
      </c>
    </row>
    <row r="84" spans="1:27" x14ac:dyDescent="0.4">
      <c r="A84">
        <v>83</v>
      </c>
      <c r="B84">
        <v>83</v>
      </c>
      <c r="C84" t="s">
        <v>146</v>
      </c>
      <c r="D84">
        <v>3</v>
      </c>
      <c r="E84">
        <v>5</v>
      </c>
      <c r="F84">
        <v>8</v>
      </c>
      <c r="G84">
        <v>8</v>
      </c>
      <c r="H84">
        <v>1</v>
      </c>
      <c r="I84">
        <v>0</v>
      </c>
      <c r="J84">
        <v>9</v>
      </c>
      <c r="K84">
        <v>0</v>
      </c>
      <c r="L84">
        <v>0</v>
      </c>
      <c r="M84">
        <v>8</v>
      </c>
      <c r="N84">
        <v>0</v>
      </c>
      <c r="O84">
        <v>2</v>
      </c>
      <c r="P84">
        <v>0</v>
      </c>
      <c r="Q84">
        <v>0</v>
      </c>
      <c r="R84">
        <v>0</v>
      </c>
      <c r="S84">
        <v>0</v>
      </c>
      <c r="T84">
        <v>3</v>
      </c>
      <c r="U84">
        <v>2</v>
      </c>
      <c r="V84">
        <v>4</v>
      </c>
      <c r="W84">
        <v>0</v>
      </c>
      <c r="X84">
        <v>5</v>
      </c>
      <c r="Z84">
        <v>5</v>
      </c>
      <c r="AA84">
        <v>6</v>
      </c>
    </row>
    <row r="85" spans="1:27" x14ac:dyDescent="0.4">
      <c r="A85">
        <v>84</v>
      </c>
      <c r="B85">
        <v>84</v>
      </c>
      <c r="C85" t="s">
        <v>147</v>
      </c>
      <c r="D85">
        <v>4</v>
      </c>
      <c r="E85">
        <v>6</v>
      </c>
      <c r="F85">
        <v>21</v>
      </c>
      <c r="G85">
        <v>15</v>
      </c>
      <c r="H85">
        <v>0</v>
      </c>
      <c r="I85">
        <v>0</v>
      </c>
      <c r="J85">
        <v>0</v>
      </c>
      <c r="K85">
        <v>7</v>
      </c>
      <c r="L85">
        <v>0</v>
      </c>
      <c r="M85">
        <v>0</v>
      </c>
      <c r="N85">
        <v>0</v>
      </c>
      <c r="O85">
        <v>0</v>
      </c>
      <c r="P85">
        <v>0</v>
      </c>
      <c r="Q85">
        <v>1</v>
      </c>
      <c r="R85">
        <v>0</v>
      </c>
      <c r="S85">
        <v>0</v>
      </c>
      <c r="T85">
        <v>3</v>
      </c>
      <c r="U85">
        <v>0</v>
      </c>
      <c r="V85">
        <v>3</v>
      </c>
      <c r="W85">
        <v>1</v>
      </c>
      <c r="X85">
        <v>1</v>
      </c>
      <c r="Z85">
        <v>0</v>
      </c>
      <c r="AA85">
        <v>0</v>
      </c>
    </row>
    <row r="86" spans="1:27" x14ac:dyDescent="0.4">
      <c r="A86">
        <v>85</v>
      </c>
      <c r="B86">
        <v>85</v>
      </c>
      <c r="C86" t="s">
        <v>148</v>
      </c>
      <c r="D86">
        <v>4</v>
      </c>
      <c r="E86">
        <v>6</v>
      </c>
      <c r="F86">
        <v>21</v>
      </c>
      <c r="G86">
        <v>15</v>
      </c>
      <c r="H86">
        <v>0</v>
      </c>
      <c r="I86">
        <v>1</v>
      </c>
      <c r="J86">
        <v>0</v>
      </c>
      <c r="K86">
        <v>8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3</v>
      </c>
      <c r="U86">
        <v>0</v>
      </c>
      <c r="V86">
        <v>3</v>
      </c>
      <c r="W86">
        <v>1</v>
      </c>
      <c r="X86">
        <v>1</v>
      </c>
      <c r="Z86">
        <v>0</v>
      </c>
      <c r="AA86">
        <v>0</v>
      </c>
    </row>
    <row r="87" spans="1:27" x14ac:dyDescent="0.4">
      <c r="A87">
        <v>86</v>
      </c>
      <c r="B87">
        <v>86</v>
      </c>
      <c r="C87" t="s">
        <v>149</v>
      </c>
      <c r="D87">
        <v>10</v>
      </c>
      <c r="E87">
        <v>20</v>
      </c>
      <c r="F87">
        <v>31</v>
      </c>
      <c r="G87">
        <v>26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3</v>
      </c>
      <c r="U87">
        <v>10</v>
      </c>
      <c r="V87">
        <v>5</v>
      </c>
      <c r="W87">
        <v>20</v>
      </c>
      <c r="X87">
        <v>10</v>
      </c>
      <c r="Z87">
        <v>0</v>
      </c>
      <c r="AA87">
        <v>0</v>
      </c>
    </row>
    <row r="88" spans="1:27" x14ac:dyDescent="0.4">
      <c r="A88">
        <v>87</v>
      </c>
      <c r="B88">
        <v>87</v>
      </c>
      <c r="C88" t="s">
        <v>150</v>
      </c>
      <c r="D88">
        <v>6</v>
      </c>
      <c r="E88">
        <v>31</v>
      </c>
      <c r="F88">
        <v>17</v>
      </c>
      <c r="G88">
        <v>19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13</v>
      </c>
      <c r="O88">
        <v>0</v>
      </c>
      <c r="P88">
        <v>0</v>
      </c>
      <c r="Q88">
        <v>0</v>
      </c>
      <c r="R88">
        <v>0</v>
      </c>
      <c r="S88">
        <v>0</v>
      </c>
      <c r="T88">
        <v>3</v>
      </c>
      <c r="U88">
        <v>20</v>
      </c>
      <c r="V88">
        <v>0</v>
      </c>
      <c r="W88">
        <v>25</v>
      </c>
      <c r="X88">
        <v>0</v>
      </c>
      <c r="Z88">
        <v>0</v>
      </c>
      <c r="AA88">
        <v>0</v>
      </c>
    </row>
    <row r="89" spans="1:27" x14ac:dyDescent="0.4">
      <c r="A89">
        <v>88</v>
      </c>
      <c r="B89">
        <v>88</v>
      </c>
      <c r="C89" t="s">
        <v>151</v>
      </c>
      <c r="D89">
        <v>5</v>
      </c>
      <c r="E89">
        <v>8</v>
      </c>
      <c r="F89">
        <v>12</v>
      </c>
      <c r="G89">
        <v>11</v>
      </c>
      <c r="H89">
        <v>0</v>
      </c>
      <c r="I89">
        <v>0</v>
      </c>
      <c r="J89">
        <v>0</v>
      </c>
      <c r="K89">
        <v>0</v>
      </c>
      <c r="L89">
        <v>0</v>
      </c>
      <c r="M89">
        <v>2</v>
      </c>
      <c r="N89">
        <v>0</v>
      </c>
      <c r="O89">
        <v>5</v>
      </c>
      <c r="P89">
        <v>0</v>
      </c>
      <c r="Q89">
        <v>8</v>
      </c>
      <c r="R89">
        <v>0</v>
      </c>
      <c r="S89">
        <v>0</v>
      </c>
      <c r="T89">
        <v>3</v>
      </c>
      <c r="U89">
        <v>0</v>
      </c>
      <c r="V89">
        <v>0</v>
      </c>
      <c r="W89">
        <v>16</v>
      </c>
      <c r="X89">
        <v>16</v>
      </c>
      <c r="Z89">
        <v>0</v>
      </c>
      <c r="AA89">
        <v>0</v>
      </c>
    </row>
    <row r="90" spans="1:27" x14ac:dyDescent="0.4">
      <c r="A90">
        <v>89</v>
      </c>
      <c r="B90">
        <v>89</v>
      </c>
      <c r="C90" t="s">
        <v>152</v>
      </c>
      <c r="D90">
        <v>5</v>
      </c>
      <c r="E90">
        <v>8</v>
      </c>
      <c r="F90">
        <v>13</v>
      </c>
      <c r="G90">
        <v>11</v>
      </c>
      <c r="H90">
        <v>0</v>
      </c>
      <c r="I90">
        <v>0</v>
      </c>
      <c r="J90">
        <v>0</v>
      </c>
      <c r="K90">
        <v>5</v>
      </c>
      <c r="L90">
        <v>0</v>
      </c>
      <c r="M90">
        <v>0</v>
      </c>
      <c r="N90">
        <v>1</v>
      </c>
      <c r="O90">
        <v>6</v>
      </c>
      <c r="P90">
        <v>0</v>
      </c>
      <c r="Q90">
        <v>3</v>
      </c>
      <c r="R90">
        <v>0</v>
      </c>
      <c r="S90">
        <v>0</v>
      </c>
      <c r="T90">
        <v>3</v>
      </c>
      <c r="U90">
        <v>0</v>
      </c>
      <c r="V90">
        <v>0</v>
      </c>
      <c r="W90">
        <v>21</v>
      </c>
      <c r="X90">
        <v>23</v>
      </c>
      <c r="Z90">
        <v>0</v>
      </c>
      <c r="AA90">
        <v>0</v>
      </c>
    </row>
    <row r="91" spans="1:27" x14ac:dyDescent="0.4">
      <c r="A91">
        <v>90</v>
      </c>
      <c r="B91">
        <v>90</v>
      </c>
      <c r="C91" t="s">
        <v>153</v>
      </c>
      <c r="D91">
        <v>1</v>
      </c>
      <c r="E91">
        <v>1</v>
      </c>
      <c r="F91">
        <v>2</v>
      </c>
      <c r="G91">
        <v>2</v>
      </c>
      <c r="H91">
        <v>0</v>
      </c>
      <c r="I91">
        <v>9</v>
      </c>
      <c r="J91">
        <v>0</v>
      </c>
      <c r="K91">
        <v>3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0</v>
      </c>
      <c r="S91">
        <v>2</v>
      </c>
      <c r="T91">
        <v>1</v>
      </c>
      <c r="U91">
        <v>0</v>
      </c>
      <c r="V91">
        <v>3</v>
      </c>
      <c r="W91">
        <v>4</v>
      </c>
      <c r="X91">
        <v>0</v>
      </c>
      <c r="Z91">
        <v>0</v>
      </c>
      <c r="AA91">
        <v>0</v>
      </c>
    </row>
    <row r="92" spans="1:27" x14ac:dyDescent="0.4">
      <c r="A92">
        <v>91</v>
      </c>
      <c r="B92">
        <v>91</v>
      </c>
      <c r="C92" t="s">
        <v>154</v>
      </c>
      <c r="D92">
        <v>1</v>
      </c>
      <c r="E92">
        <v>2</v>
      </c>
      <c r="F92">
        <v>1</v>
      </c>
      <c r="G92">
        <v>16</v>
      </c>
      <c r="H92">
        <v>0</v>
      </c>
      <c r="I92">
        <v>2</v>
      </c>
      <c r="J92">
        <v>0</v>
      </c>
      <c r="K92">
        <v>5</v>
      </c>
      <c r="L92">
        <v>0</v>
      </c>
      <c r="M92">
        <v>1</v>
      </c>
      <c r="N92">
        <v>1</v>
      </c>
      <c r="O92">
        <v>0</v>
      </c>
      <c r="P92">
        <v>0</v>
      </c>
      <c r="Q92">
        <v>1</v>
      </c>
      <c r="R92">
        <v>0</v>
      </c>
      <c r="S92">
        <v>1</v>
      </c>
      <c r="T92">
        <v>1</v>
      </c>
      <c r="U92">
        <v>0</v>
      </c>
      <c r="V92">
        <v>2</v>
      </c>
      <c r="W92">
        <v>2</v>
      </c>
      <c r="X92">
        <v>0</v>
      </c>
      <c r="Z92">
        <v>0</v>
      </c>
      <c r="AA92">
        <v>0</v>
      </c>
    </row>
    <row r="93" spans="1:27" x14ac:dyDescent="0.4">
      <c r="A93">
        <v>92</v>
      </c>
      <c r="B93">
        <v>92</v>
      </c>
      <c r="C93" t="s">
        <v>155</v>
      </c>
      <c r="D93">
        <v>4</v>
      </c>
      <c r="E93">
        <v>6</v>
      </c>
      <c r="F93">
        <v>21</v>
      </c>
      <c r="G93">
        <v>15</v>
      </c>
      <c r="H93">
        <v>0</v>
      </c>
      <c r="I93">
        <v>0</v>
      </c>
      <c r="J93">
        <v>0</v>
      </c>
      <c r="K93">
        <v>6</v>
      </c>
      <c r="L93">
        <v>0</v>
      </c>
      <c r="M93">
        <v>0</v>
      </c>
      <c r="N93">
        <v>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2</v>
      </c>
      <c r="W93">
        <v>1</v>
      </c>
      <c r="X93">
        <v>0</v>
      </c>
      <c r="Z93">
        <v>0</v>
      </c>
      <c r="AA93">
        <v>0</v>
      </c>
    </row>
    <row r="94" spans="1:27" x14ac:dyDescent="0.4">
      <c r="A94">
        <v>93</v>
      </c>
      <c r="B94">
        <v>93</v>
      </c>
      <c r="C94" t="s">
        <v>156</v>
      </c>
      <c r="D94">
        <v>3</v>
      </c>
      <c r="E94">
        <v>5</v>
      </c>
      <c r="F94">
        <v>8</v>
      </c>
      <c r="G94">
        <v>8</v>
      </c>
      <c r="H94">
        <v>1</v>
      </c>
      <c r="I94">
        <v>0</v>
      </c>
      <c r="J94">
        <v>11</v>
      </c>
      <c r="K94">
        <v>1</v>
      </c>
      <c r="L94">
        <v>0</v>
      </c>
      <c r="M94">
        <v>5</v>
      </c>
      <c r="N94">
        <v>0</v>
      </c>
      <c r="O94">
        <v>4</v>
      </c>
      <c r="P94">
        <v>0</v>
      </c>
      <c r="Q94">
        <v>3</v>
      </c>
      <c r="R94">
        <v>0</v>
      </c>
      <c r="S94">
        <v>0</v>
      </c>
      <c r="T94">
        <v>4</v>
      </c>
      <c r="U94">
        <v>1</v>
      </c>
      <c r="V94">
        <v>1</v>
      </c>
      <c r="W94">
        <v>0</v>
      </c>
      <c r="X94">
        <v>2</v>
      </c>
      <c r="Z94">
        <v>4</v>
      </c>
      <c r="AA94">
        <v>5</v>
      </c>
    </row>
    <row r="95" spans="1:27" x14ac:dyDescent="0.4">
      <c r="A95">
        <v>94</v>
      </c>
      <c r="B95">
        <v>94</v>
      </c>
      <c r="C95" t="s">
        <v>157</v>
      </c>
      <c r="D95">
        <v>3</v>
      </c>
      <c r="E95">
        <v>5</v>
      </c>
      <c r="F95">
        <v>8</v>
      </c>
      <c r="G95">
        <v>8</v>
      </c>
      <c r="H95">
        <v>1</v>
      </c>
      <c r="I95">
        <v>0</v>
      </c>
      <c r="J95">
        <v>14</v>
      </c>
      <c r="K95">
        <v>1</v>
      </c>
      <c r="L95">
        <v>0</v>
      </c>
      <c r="M95">
        <v>6</v>
      </c>
      <c r="N95">
        <v>0</v>
      </c>
      <c r="O95">
        <v>5</v>
      </c>
      <c r="P95">
        <v>0</v>
      </c>
      <c r="Q95">
        <v>3</v>
      </c>
      <c r="R95">
        <v>0</v>
      </c>
      <c r="S95">
        <v>0</v>
      </c>
      <c r="T95">
        <v>5</v>
      </c>
      <c r="U95">
        <v>2</v>
      </c>
      <c r="V95">
        <v>4</v>
      </c>
      <c r="W95">
        <v>0</v>
      </c>
      <c r="X95">
        <v>4</v>
      </c>
      <c r="Z95">
        <v>5</v>
      </c>
      <c r="AA95">
        <v>6</v>
      </c>
    </row>
    <row r="96" spans="1:27" x14ac:dyDescent="0.4">
      <c r="A96">
        <v>95</v>
      </c>
      <c r="B96">
        <v>95</v>
      </c>
      <c r="C96" t="s">
        <v>159</v>
      </c>
      <c r="D96">
        <v>2</v>
      </c>
      <c r="E96">
        <v>3</v>
      </c>
      <c r="F96">
        <v>32</v>
      </c>
      <c r="G96">
        <v>5</v>
      </c>
      <c r="H96">
        <v>0</v>
      </c>
      <c r="I96">
        <v>0</v>
      </c>
      <c r="J96">
        <v>16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3</v>
      </c>
      <c r="R96">
        <v>0</v>
      </c>
      <c r="S96">
        <v>1</v>
      </c>
      <c r="T96">
        <v>2</v>
      </c>
      <c r="U96">
        <v>2</v>
      </c>
      <c r="V96">
        <v>4</v>
      </c>
      <c r="W96">
        <v>2</v>
      </c>
      <c r="X96">
        <v>0</v>
      </c>
      <c r="Z96">
        <v>0</v>
      </c>
      <c r="AA96">
        <v>0</v>
      </c>
    </row>
    <row r="97" spans="1:27" x14ac:dyDescent="0.4">
      <c r="A97">
        <v>96</v>
      </c>
      <c r="B97">
        <v>96</v>
      </c>
      <c r="C97" t="s">
        <v>160</v>
      </c>
      <c r="D97">
        <v>3</v>
      </c>
      <c r="E97">
        <v>5</v>
      </c>
      <c r="F97">
        <v>6</v>
      </c>
      <c r="G97">
        <v>6</v>
      </c>
      <c r="H97">
        <v>11</v>
      </c>
      <c r="I97">
        <v>0</v>
      </c>
      <c r="J97">
        <v>0</v>
      </c>
      <c r="K97">
        <v>8</v>
      </c>
      <c r="L97">
        <v>0</v>
      </c>
      <c r="M97">
        <v>0</v>
      </c>
      <c r="N97">
        <v>2</v>
      </c>
      <c r="O97">
        <v>1</v>
      </c>
      <c r="P97">
        <v>0</v>
      </c>
      <c r="Q97">
        <v>2</v>
      </c>
      <c r="R97">
        <v>0</v>
      </c>
      <c r="S97">
        <v>0</v>
      </c>
      <c r="T97">
        <v>3</v>
      </c>
      <c r="U97">
        <v>1</v>
      </c>
      <c r="V97">
        <v>1</v>
      </c>
      <c r="W97">
        <v>0</v>
      </c>
      <c r="X97">
        <v>2</v>
      </c>
      <c r="Z97">
        <v>7</v>
      </c>
      <c r="AA97">
        <v>4</v>
      </c>
    </row>
    <row r="98" spans="1:27" x14ac:dyDescent="0.4">
      <c r="A98">
        <v>97</v>
      </c>
      <c r="B98">
        <v>97</v>
      </c>
      <c r="C98" t="s">
        <v>161</v>
      </c>
      <c r="D98">
        <v>3</v>
      </c>
      <c r="E98">
        <v>5</v>
      </c>
      <c r="F98">
        <v>7</v>
      </c>
      <c r="G98">
        <v>7</v>
      </c>
      <c r="H98">
        <v>15</v>
      </c>
      <c r="I98">
        <v>0</v>
      </c>
      <c r="J98">
        <v>0</v>
      </c>
      <c r="K98">
        <v>1</v>
      </c>
      <c r="L98">
        <v>0</v>
      </c>
      <c r="M98">
        <v>4</v>
      </c>
      <c r="N98">
        <v>0</v>
      </c>
      <c r="O98">
        <v>2</v>
      </c>
      <c r="P98">
        <v>0</v>
      </c>
      <c r="Q98">
        <v>2</v>
      </c>
      <c r="R98">
        <v>7</v>
      </c>
      <c r="S98">
        <v>0</v>
      </c>
      <c r="T98">
        <v>3</v>
      </c>
      <c r="U98">
        <v>1</v>
      </c>
      <c r="V98">
        <v>1</v>
      </c>
      <c r="W98">
        <v>0</v>
      </c>
      <c r="X98">
        <v>2</v>
      </c>
      <c r="Z98">
        <v>4</v>
      </c>
      <c r="AA98">
        <v>4</v>
      </c>
    </row>
    <row r="99" spans="1:27" x14ac:dyDescent="0.4">
      <c r="A99">
        <v>98</v>
      </c>
      <c r="B99">
        <v>98</v>
      </c>
      <c r="C99" t="s">
        <v>162</v>
      </c>
      <c r="D99">
        <v>3</v>
      </c>
      <c r="E99">
        <v>5</v>
      </c>
      <c r="F99">
        <v>8</v>
      </c>
      <c r="G99">
        <v>8</v>
      </c>
      <c r="H99">
        <v>1</v>
      </c>
      <c r="I99">
        <v>0</v>
      </c>
      <c r="J99">
        <v>8</v>
      </c>
      <c r="K99">
        <v>0</v>
      </c>
      <c r="L99">
        <v>0</v>
      </c>
      <c r="M99">
        <v>5</v>
      </c>
      <c r="N99">
        <v>0</v>
      </c>
      <c r="O99">
        <v>2</v>
      </c>
      <c r="P99">
        <v>0</v>
      </c>
      <c r="Q99">
        <v>2</v>
      </c>
      <c r="R99">
        <v>0</v>
      </c>
      <c r="S99">
        <v>0</v>
      </c>
      <c r="T99">
        <v>3</v>
      </c>
      <c r="U99">
        <v>1</v>
      </c>
      <c r="V99">
        <v>1</v>
      </c>
      <c r="W99">
        <v>0</v>
      </c>
      <c r="X99">
        <v>2</v>
      </c>
      <c r="Z99">
        <v>4</v>
      </c>
      <c r="AA99">
        <v>5</v>
      </c>
    </row>
    <row r="100" spans="1:27" x14ac:dyDescent="0.4">
      <c r="A100">
        <v>99</v>
      </c>
      <c r="B100">
        <v>99</v>
      </c>
      <c r="C100" t="s">
        <v>163</v>
      </c>
      <c r="D100">
        <v>3</v>
      </c>
      <c r="E100">
        <v>5</v>
      </c>
      <c r="F100">
        <v>7</v>
      </c>
      <c r="G100">
        <v>7</v>
      </c>
      <c r="H100">
        <v>40</v>
      </c>
      <c r="I100">
        <v>0</v>
      </c>
      <c r="J100">
        <v>0</v>
      </c>
      <c r="K100">
        <v>0</v>
      </c>
      <c r="L100">
        <v>0</v>
      </c>
      <c r="M100">
        <v>5</v>
      </c>
      <c r="N100">
        <v>0</v>
      </c>
      <c r="O100">
        <v>3</v>
      </c>
      <c r="P100">
        <v>0</v>
      </c>
      <c r="Q100">
        <v>4</v>
      </c>
      <c r="R100">
        <v>10</v>
      </c>
      <c r="S100">
        <v>0</v>
      </c>
      <c r="T100">
        <v>4</v>
      </c>
      <c r="U100">
        <v>1</v>
      </c>
      <c r="V100">
        <v>1</v>
      </c>
      <c r="W100">
        <v>0</v>
      </c>
      <c r="X100">
        <v>2</v>
      </c>
      <c r="Z100">
        <v>4</v>
      </c>
      <c r="AA100">
        <v>4</v>
      </c>
    </row>
    <row r="101" spans="1:27" x14ac:dyDescent="0.4">
      <c r="A101">
        <v>100</v>
      </c>
      <c r="B101">
        <v>100</v>
      </c>
      <c r="C101" t="s">
        <v>164</v>
      </c>
      <c r="D101">
        <v>3</v>
      </c>
      <c r="E101">
        <v>5</v>
      </c>
      <c r="F101">
        <v>7</v>
      </c>
      <c r="G101">
        <v>7</v>
      </c>
      <c r="H101">
        <v>16</v>
      </c>
      <c r="I101">
        <v>0</v>
      </c>
      <c r="J101">
        <v>0</v>
      </c>
      <c r="K101">
        <v>1</v>
      </c>
      <c r="L101">
        <v>0</v>
      </c>
      <c r="M101">
        <v>5</v>
      </c>
      <c r="N101">
        <v>0</v>
      </c>
      <c r="O101">
        <v>4</v>
      </c>
      <c r="P101">
        <v>0</v>
      </c>
      <c r="Q101">
        <v>4</v>
      </c>
      <c r="R101">
        <v>13</v>
      </c>
      <c r="S101">
        <v>0</v>
      </c>
      <c r="T101">
        <v>5</v>
      </c>
      <c r="U101">
        <v>2</v>
      </c>
      <c r="V101">
        <v>3</v>
      </c>
      <c r="W101">
        <v>0</v>
      </c>
      <c r="X101">
        <v>3</v>
      </c>
      <c r="Z101">
        <v>5</v>
      </c>
      <c r="AA101">
        <v>5</v>
      </c>
    </row>
    <row r="102" spans="1:27" x14ac:dyDescent="0.4">
      <c r="A102">
        <v>101</v>
      </c>
      <c r="B102">
        <v>101</v>
      </c>
      <c r="C102" t="s">
        <v>165</v>
      </c>
      <c r="D102">
        <v>11</v>
      </c>
      <c r="E102">
        <v>21</v>
      </c>
      <c r="F102">
        <v>33</v>
      </c>
      <c r="G102">
        <v>27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0</v>
      </c>
      <c r="V102">
        <v>2</v>
      </c>
      <c r="W102">
        <v>1</v>
      </c>
      <c r="X102">
        <v>1</v>
      </c>
      <c r="Z102">
        <v>0</v>
      </c>
      <c r="AA102">
        <v>0</v>
      </c>
    </row>
    <row r="103" spans="1:27" x14ac:dyDescent="0.4">
      <c r="A103">
        <v>102</v>
      </c>
      <c r="B103">
        <v>102</v>
      </c>
      <c r="C103" t="s">
        <v>166</v>
      </c>
      <c r="D103">
        <v>5</v>
      </c>
      <c r="E103">
        <v>7</v>
      </c>
      <c r="F103">
        <v>10</v>
      </c>
      <c r="G103">
        <v>10</v>
      </c>
      <c r="H103">
        <v>2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</v>
      </c>
      <c r="O103">
        <v>3</v>
      </c>
      <c r="P103">
        <v>0</v>
      </c>
      <c r="Q103">
        <v>1</v>
      </c>
      <c r="R103">
        <v>0</v>
      </c>
      <c r="S103">
        <v>0</v>
      </c>
      <c r="T103">
        <v>3</v>
      </c>
      <c r="U103">
        <v>2</v>
      </c>
      <c r="V103">
        <v>1</v>
      </c>
      <c r="W103">
        <v>0</v>
      </c>
      <c r="X103">
        <v>4</v>
      </c>
      <c r="Z103">
        <v>6</v>
      </c>
      <c r="AA103">
        <v>8</v>
      </c>
    </row>
    <row r="104" spans="1:27" x14ac:dyDescent="0.4">
      <c r="A104">
        <v>103</v>
      </c>
      <c r="B104">
        <v>103</v>
      </c>
      <c r="C104" t="s">
        <v>167</v>
      </c>
      <c r="D104">
        <v>1</v>
      </c>
      <c r="E104">
        <v>1</v>
      </c>
      <c r="F104">
        <v>3</v>
      </c>
      <c r="G104">
        <v>3</v>
      </c>
      <c r="H104">
        <v>0</v>
      </c>
      <c r="I104">
        <v>18</v>
      </c>
      <c r="J104">
        <v>0</v>
      </c>
      <c r="K104">
        <v>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2</v>
      </c>
      <c r="R104">
        <v>0</v>
      </c>
      <c r="S104">
        <v>3</v>
      </c>
      <c r="T104">
        <v>4</v>
      </c>
      <c r="U104">
        <v>0</v>
      </c>
      <c r="V104">
        <v>11</v>
      </c>
      <c r="W104">
        <v>18</v>
      </c>
      <c r="X104">
        <v>0</v>
      </c>
      <c r="Z104">
        <v>0</v>
      </c>
      <c r="AA104">
        <v>0</v>
      </c>
    </row>
    <row r="105" spans="1:27" x14ac:dyDescent="0.4">
      <c r="A105">
        <v>104</v>
      </c>
      <c r="B105">
        <v>104</v>
      </c>
      <c r="C105" t="s">
        <v>168</v>
      </c>
      <c r="D105">
        <v>1</v>
      </c>
      <c r="E105">
        <v>1</v>
      </c>
      <c r="F105">
        <v>3</v>
      </c>
      <c r="G105">
        <v>3</v>
      </c>
      <c r="H105">
        <v>0</v>
      </c>
      <c r="I105">
        <v>15</v>
      </c>
      <c r="J105">
        <v>0</v>
      </c>
      <c r="K105">
        <v>5</v>
      </c>
      <c r="L105">
        <v>0</v>
      </c>
      <c r="M105">
        <v>0</v>
      </c>
      <c r="N105">
        <v>1</v>
      </c>
      <c r="O105">
        <v>0</v>
      </c>
      <c r="P105">
        <v>0</v>
      </c>
      <c r="Q105">
        <v>1</v>
      </c>
      <c r="R105">
        <v>0</v>
      </c>
      <c r="S105">
        <v>3</v>
      </c>
      <c r="T105">
        <v>3</v>
      </c>
      <c r="U105">
        <v>0</v>
      </c>
      <c r="V105">
        <v>10</v>
      </c>
      <c r="W105">
        <v>15</v>
      </c>
      <c r="X105">
        <v>0</v>
      </c>
      <c r="Z105">
        <v>0</v>
      </c>
      <c r="AA105">
        <v>0</v>
      </c>
    </row>
    <row r="106" spans="1:27" x14ac:dyDescent="0.4">
      <c r="A106">
        <v>105</v>
      </c>
      <c r="B106">
        <v>105</v>
      </c>
      <c r="C106" t="s">
        <v>169</v>
      </c>
      <c r="D106">
        <v>1</v>
      </c>
      <c r="E106">
        <v>1</v>
      </c>
      <c r="F106">
        <v>3</v>
      </c>
      <c r="G106">
        <v>3</v>
      </c>
      <c r="H106">
        <v>0</v>
      </c>
      <c r="I106">
        <v>22</v>
      </c>
      <c r="J106">
        <v>0</v>
      </c>
      <c r="K106">
        <v>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2</v>
      </c>
      <c r="R106">
        <v>0</v>
      </c>
      <c r="S106">
        <v>3</v>
      </c>
      <c r="T106">
        <v>4</v>
      </c>
      <c r="U106">
        <v>0</v>
      </c>
      <c r="V106">
        <v>14</v>
      </c>
      <c r="W106">
        <v>22</v>
      </c>
      <c r="X106">
        <v>0</v>
      </c>
      <c r="Z106">
        <v>0</v>
      </c>
      <c r="AA106">
        <v>0</v>
      </c>
    </row>
    <row r="107" spans="1:27" x14ac:dyDescent="0.4">
      <c r="A107">
        <v>106</v>
      </c>
      <c r="B107">
        <v>106</v>
      </c>
      <c r="C107" t="s">
        <v>170</v>
      </c>
      <c r="D107">
        <v>5</v>
      </c>
      <c r="E107">
        <v>8</v>
      </c>
      <c r="F107">
        <v>12</v>
      </c>
      <c r="G107">
        <v>11</v>
      </c>
      <c r="H107">
        <v>0</v>
      </c>
      <c r="I107">
        <v>0</v>
      </c>
      <c r="J107">
        <v>0</v>
      </c>
      <c r="K107">
        <v>4</v>
      </c>
      <c r="L107">
        <v>0</v>
      </c>
      <c r="M107">
        <v>0</v>
      </c>
      <c r="N107">
        <v>1</v>
      </c>
      <c r="O107">
        <v>4</v>
      </c>
      <c r="P107">
        <v>0</v>
      </c>
      <c r="Q107">
        <v>2</v>
      </c>
      <c r="R107">
        <v>0</v>
      </c>
      <c r="S107">
        <v>0</v>
      </c>
      <c r="T107">
        <v>3</v>
      </c>
      <c r="U107">
        <v>0</v>
      </c>
      <c r="V107">
        <v>0</v>
      </c>
      <c r="W107">
        <v>10</v>
      </c>
      <c r="X107">
        <v>11</v>
      </c>
      <c r="Z107">
        <v>0</v>
      </c>
      <c r="AA107">
        <v>0</v>
      </c>
    </row>
    <row r="108" spans="1:27" x14ac:dyDescent="0.4">
      <c r="A108">
        <v>107</v>
      </c>
      <c r="B108">
        <v>107</v>
      </c>
      <c r="C108" t="s">
        <v>172</v>
      </c>
      <c r="D108">
        <v>12</v>
      </c>
      <c r="E108">
        <v>22</v>
      </c>
      <c r="F108">
        <v>34</v>
      </c>
      <c r="G108">
        <v>28</v>
      </c>
      <c r="H108">
        <v>0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1</v>
      </c>
      <c r="O108">
        <v>1</v>
      </c>
      <c r="P108">
        <v>0</v>
      </c>
      <c r="Q108">
        <v>1</v>
      </c>
      <c r="R108">
        <v>0</v>
      </c>
      <c r="S108">
        <v>0</v>
      </c>
      <c r="T108">
        <v>5</v>
      </c>
      <c r="U108">
        <v>1</v>
      </c>
      <c r="V108">
        <v>1</v>
      </c>
      <c r="W108">
        <v>1</v>
      </c>
      <c r="X108">
        <v>1</v>
      </c>
      <c r="Z108">
        <v>0</v>
      </c>
      <c r="AA108">
        <v>0</v>
      </c>
    </row>
    <row r="109" spans="1:27" x14ac:dyDescent="0.4">
      <c r="A109">
        <v>108</v>
      </c>
      <c r="B109">
        <v>108</v>
      </c>
      <c r="C109" t="s">
        <v>174</v>
      </c>
      <c r="D109">
        <v>13</v>
      </c>
      <c r="E109">
        <v>23</v>
      </c>
      <c r="F109">
        <v>35</v>
      </c>
      <c r="G109">
        <v>29</v>
      </c>
      <c r="H109">
        <v>0</v>
      </c>
      <c r="I109">
        <v>10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1</v>
      </c>
      <c r="P109">
        <v>0</v>
      </c>
      <c r="Q109">
        <v>1</v>
      </c>
      <c r="R109">
        <v>0</v>
      </c>
      <c r="S109">
        <v>3</v>
      </c>
      <c r="T109">
        <v>3</v>
      </c>
      <c r="U109">
        <v>1</v>
      </c>
      <c r="V109">
        <v>10</v>
      </c>
      <c r="W109">
        <v>1</v>
      </c>
      <c r="X109">
        <v>10</v>
      </c>
      <c r="Z109">
        <v>0</v>
      </c>
      <c r="AA109">
        <v>0</v>
      </c>
    </row>
    <row r="110" spans="1:27" x14ac:dyDescent="0.4">
      <c r="A110">
        <v>109</v>
      </c>
      <c r="B110">
        <v>109</v>
      </c>
      <c r="C110" t="s">
        <v>175</v>
      </c>
      <c r="D110">
        <v>3</v>
      </c>
      <c r="E110">
        <v>5</v>
      </c>
      <c r="F110">
        <v>6</v>
      </c>
      <c r="G110">
        <v>6</v>
      </c>
      <c r="H110">
        <v>13</v>
      </c>
      <c r="I110">
        <v>0</v>
      </c>
      <c r="J110">
        <v>0</v>
      </c>
      <c r="K110">
        <v>9</v>
      </c>
      <c r="L110">
        <v>0</v>
      </c>
      <c r="M110">
        <v>0</v>
      </c>
      <c r="N110">
        <v>1</v>
      </c>
      <c r="O110">
        <v>0</v>
      </c>
      <c r="P110">
        <v>0</v>
      </c>
      <c r="Q110">
        <v>1</v>
      </c>
      <c r="R110">
        <v>0</v>
      </c>
      <c r="S110">
        <v>0</v>
      </c>
      <c r="T110">
        <v>3</v>
      </c>
      <c r="U110">
        <v>1</v>
      </c>
      <c r="V110">
        <v>2</v>
      </c>
      <c r="W110">
        <v>0</v>
      </c>
      <c r="X110">
        <v>3</v>
      </c>
      <c r="Z110">
        <v>6</v>
      </c>
      <c r="AA110">
        <v>5</v>
      </c>
    </row>
    <row r="111" spans="1:27" x14ac:dyDescent="0.4">
      <c r="A111">
        <v>110</v>
      </c>
      <c r="B111">
        <v>110</v>
      </c>
      <c r="C111" t="s">
        <v>176</v>
      </c>
      <c r="D111">
        <v>3</v>
      </c>
      <c r="E111">
        <v>5</v>
      </c>
      <c r="F111">
        <v>6</v>
      </c>
      <c r="G111">
        <v>6</v>
      </c>
      <c r="H111">
        <v>13</v>
      </c>
      <c r="I111">
        <v>0</v>
      </c>
      <c r="J111">
        <v>0</v>
      </c>
      <c r="K111">
        <v>11</v>
      </c>
      <c r="L111">
        <v>0</v>
      </c>
      <c r="M111">
        <v>0</v>
      </c>
      <c r="N111">
        <v>2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4</v>
      </c>
      <c r="U111">
        <v>2</v>
      </c>
      <c r="V111">
        <v>2</v>
      </c>
      <c r="W111">
        <v>0</v>
      </c>
      <c r="X111">
        <v>9</v>
      </c>
      <c r="Z111">
        <v>5</v>
      </c>
      <c r="AA111">
        <v>7</v>
      </c>
    </row>
    <row r="112" spans="1:27" x14ac:dyDescent="0.4">
      <c r="A112">
        <v>111</v>
      </c>
      <c r="B112">
        <v>111</v>
      </c>
      <c r="C112" t="s">
        <v>177</v>
      </c>
      <c r="D112">
        <v>3</v>
      </c>
      <c r="E112">
        <v>5</v>
      </c>
      <c r="F112">
        <v>7</v>
      </c>
      <c r="G112">
        <v>7</v>
      </c>
      <c r="H112">
        <v>16</v>
      </c>
      <c r="I112">
        <v>0</v>
      </c>
      <c r="J112">
        <v>0</v>
      </c>
      <c r="K112">
        <v>0</v>
      </c>
      <c r="L112">
        <v>0</v>
      </c>
      <c r="M112">
        <v>4</v>
      </c>
      <c r="N112">
        <v>0</v>
      </c>
      <c r="O112">
        <v>1</v>
      </c>
      <c r="P112">
        <v>0</v>
      </c>
      <c r="Q112">
        <v>1</v>
      </c>
      <c r="R112">
        <v>11</v>
      </c>
      <c r="S112">
        <v>0</v>
      </c>
      <c r="T112">
        <v>3</v>
      </c>
      <c r="U112">
        <v>2</v>
      </c>
      <c r="V112">
        <v>3</v>
      </c>
      <c r="W112">
        <v>0</v>
      </c>
      <c r="X112">
        <v>3</v>
      </c>
      <c r="Z112">
        <v>5</v>
      </c>
      <c r="AA112">
        <v>5</v>
      </c>
    </row>
    <row r="113" spans="1:27" x14ac:dyDescent="0.4">
      <c r="A113">
        <v>112</v>
      </c>
      <c r="B113">
        <v>112</v>
      </c>
      <c r="C113" t="s">
        <v>178</v>
      </c>
      <c r="D113">
        <v>3</v>
      </c>
      <c r="E113">
        <v>5</v>
      </c>
      <c r="F113">
        <v>8</v>
      </c>
      <c r="G113">
        <v>8</v>
      </c>
      <c r="H113">
        <v>1</v>
      </c>
      <c r="I113">
        <v>0</v>
      </c>
      <c r="J113">
        <v>10</v>
      </c>
      <c r="K113">
        <v>0</v>
      </c>
      <c r="L113">
        <v>0</v>
      </c>
      <c r="M113">
        <v>4</v>
      </c>
      <c r="N113">
        <v>0</v>
      </c>
      <c r="O113">
        <v>2</v>
      </c>
      <c r="P113">
        <v>0</v>
      </c>
      <c r="Q113">
        <v>1</v>
      </c>
      <c r="R113">
        <v>0</v>
      </c>
      <c r="S113">
        <v>0</v>
      </c>
      <c r="T113">
        <v>3</v>
      </c>
      <c r="U113">
        <v>2</v>
      </c>
      <c r="V113">
        <v>4</v>
      </c>
      <c r="W113">
        <v>0</v>
      </c>
      <c r="X113">
        <v>4</v>
      </c>
      <c r="Z113">
        <v>5</v>
      </c>
      <c r="AA113">
        <v>6</v>
      </c>
    </row>
    <row r="114" spans="1:27" x14ac:dyDescent="0.4">
      <c r="A114">
        <v>113</v>
      </c>
      <c r="B114">
        <v>113</v>
      </c>
      <c r="C114" t="s">
        <v>179</v>
      </c>
      <c r="D114">
        <v>3</v>
      </c>
      <c r="E114">
        <v>5</v>
      </c>
      <c r="F114">
        <v>8</v>
      </c>
      <c r="G114">
        <v>8</v>
      </c>
      <c r="H114">
        <v>17</v>
      </c>
      <c r="I114">
        <v>0</v>
      </c>
      <c r="J114">
        <v>13</v>
      </c>
      <c r="K114">
        <v>0</v>
      </c>
      <c r="L114">
        <v>0</v>
      </c>
      <c r="M114">
        <v>5</v>
      </c>
      <c r="N114">
        <v>0</v>
      </c>
      <c r="O114">
        <v>3</v>
      </c>
      <c r="P114">
        <v>0</v>
      </c>
      <c r="Q114">
        <v>1</v>
      </c>
      <c r="R114">
        <v>0</v>
      </c>
      <c r="S114">
        <v>0</v>
      </c>
      <c r="T114">
        <v>4</v>
      </c>
      <c r="U114">
        <v>2</v>
      </c>
      <c r="V114">
        <v>5</v>
      </c>
      <c r="W114">
        <v>0</v>
      </c>
      <c r="X114">
        <v>10</v>
      </c>
      <c r="Z114">
        <v>6</v>
      </c>
      <c r="AA114">
        <v>7</v>
      </c>
    </row>
    <row r="115" spans="1:27" x14ac:dyDescent="0.4">
      <c r="A115">
        <v>114</v>
      </c>
      <c r="B115">
        <v>114</v>
      </c>
      <c r="C115" t="s">
        <v>180</v>
      </c>
      <c r="D115">
        <v>1</v>
      </c>
      <c r="E115">
        <v>1</v>
      </c>
      <c r="F115">
        <v>3</v>
      </c>
      <c r="G115">
        <v>3</v>
      </c>
      <c r="H115">
        <v>0</v>
      </c>
      <c r="I115">
        <v>17</v>
      </c>
      <c r="J115">
        <v>0</v>
      </c>
      <c r="K115">
        <v>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3</v>
      </c>
      <c r="R115">
        <v>0</v>
      </c>
      <c r="S115">
        <v>3</v>
      </c>
      <c r="T115">
        <v>2</v>
      </c>
      <c r="U115">
        <v>0</v>
      </c>
      <c r="V115">
        <v>12</v>
      </c>
      <c r="W115">
        <v>18</v>
      </c>
      <c r="X115">
        <v>0</v>
      </c>
      <c r="Z115">
        <v>0</v>
      </c>
      <c r="AA115">
        <v>0</v>
      </c>
    </row>
    <row r="116" spans="1:27" x14ac:dyDescent="0.4">
      <c r="A116">
        <v>115</v>
      </c>
      <c r="B116">
        <v>115</v>
      </c>
      <c r="C116" t="s">
        <v>181</v>
      </c>
      <c r="D116">
        <v>5</v>
      </c>
      <c r="E116">
        <v>7</v>
      </c>
      <c r="F116">
        <v>10</v>
      </c>
      <c r="G116">
        <v>10</v>
      </c>
      <c r="H116">
        <v>2</v>
      </c>
      <c r="I116">
        <v>0</v>
      </c>
      <c r="J116">
        <v>0</v>
      </c>
      <c r="K116">
        <v>1</v>
      </c>
      <c r="L116">
        <v>0</v>
      </c>
      <c r="M116">
        <v>5</v>
      </c>
      <c r="N116">
        <v>0</v>
      </c>
      <c r="O116">
        <v>5</v>
      </c>
      <c r="P116">
        <v>0</v>
      </c>
      <c r="Q116">
        <v>2</v>
      </c>
      <c r="R116">
        <v>1</v>
      </c>
      <c r="S116">
        <v>0</v>
      </c>
      <c r="T116">
        <v>2</v>
      </c>
      <c r="U116">
        <v>1</v>
      </c>
      <c r="V116">
        <v>2</v>
      </c>
      <c r="W116">
        <v>0</v>
      </c>
      <c r="X116">
        <v>2</v>
      </c>
      <c r="Z116">
        <v>3</v>
      </c>
      <c r="AA116">
        <v>5</v>
      </c>
    </row>
    <row r="117" spans="1:27" x14ac:dyDescent="0.4">
      <c r="A117">
        <v>116</v>
      </c>
      <c r="B117">
        <v>116</v>
      </c>
      <c r="C117" t="s">
        <v>182</v>
      </c>
      <c r="D117">
        <v>4</v>
      </c>
      <c r="E117">
        <v>25</v>
      </c>
      <c r="F117">
        <v>19</v>
      </c>
      <c r="G117">
        <v>13</v>
      </c>
      <c r="H117">
        <v>0</v>
      </c>
      <c r="I117">
        <v>9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2</v>
      </c>
      <c r="R117">
        <v>0</v>
      </c>
      <c r="S117">
        <v>0</v>
      </c>
      <c r="T117">
        <v>3</v>
      </c>
      <c r="U117">
        <v>0</v>
      </c>
      <c r="V117">
        <v>4</v>
      </c>
      <c r="W117">
        <v>9</v>
      </c>
      <c r="X117">
        <v>0</v>
      </c>
      <c r="Z117">
        <v>0</v>
      </c>
      <c r="AA117">
        <v>0</v>
      </c>
    </row>
    <row r="118" spans="1:27" x14ac:dyDescent="0.4">
      <c r="A118">
        <v>117</v>
      </c>
      <c r="B118">
        <v>117</v>
      </c>
      <c r="C118" t="s">
        <v>183</v>
      </c>
      <c r="D118">
        <v>1</v>
      </c>
      <c r="E118">
        <v>1</v>
      </c>
      <c r="F118">
        <v>3</v>
      </c>
      <c r="G118">
        <v>3</v>
      </c>
      <c r="H118">
        <v>0</v>
      </c>
      <c r="I118">
        <v>23</v>
      </c>
      <c r="J118">
        <v>0</v>
      </c>
      <c r="K118">
        <v>4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4</v>
      </c>
      <c r="T118">
        <v>4</v>
      </c>
      <c r="U118">
        <v>1</v>
      </c>
      <c r="V118">
        <v>18</v>
      </c>
      <c r="W118">
        <v>23</v>
      </c>
      <c r="X118">
        <v>0</v>
      </c>
      <c r="Z118">
        <v>0</v>
      </c>
      <c r="AA118">
        <v>0</v>
      </c>
    </row>
    <row r="119" spans="1:27" x14ac:dyDescent="0.4">
      <c r="A119">
        <v>118</v>
      </c>
      <c r="B119">
        <v>118</v>
      </c>
      <c r="C119" t="s">
        <v>184</v>
      </c>
      <c r="D119">
        <v>5</v>
      </c>
      <c r="E119">
        <v>7</v>
      </c>
      <c r="F119">
        <v>10</v>
      </c>
      <c r="G119">
        <v>10</v>
      </c>
      <c r="H119">
        <v>2</v>
      </c>
      <c r="I119">
        <v>0</v>
      </c>
      <c r="J119">
        <v>0</v>
      </c>
      <c r="K119">
        <v>0</v>
      </c>
      <c r="L119">
        <v>0</v>
      </c>
      <c r="M119">
        <v>2</v>
      </c>
      <c r="N119">
        <v>0</v>
      </c>
      <c r="O119">
        <v>8</v>
      </c>
      <c r="P119">
        <v>0</v>
      </c>
      <c r="Q119">
        <v>1</v>
      </c>
      <c r="R119">
        <v>1</v>
      </c>
      <c r="S119">
        <v>0</v>
      </c>
      <c r="T119">
        <v>4</v>
      </c>
      <c r="U119">
        <v>1</v>
      </c>
      <c r="V119">
        <v>1</v>
      </c>
      <c r="W119">
        <v>0</v>
      </c>
      <c r="X119">
        <v>15</v>
      </c>
      <c r="Z119">
        <v>4</v>
      </c>
      <c r="AA119">
        <v>9</v>
      </c>
    </row>
    <row r="120" spans="1:27" x14ac:dyDescent="0.4">
      <c r="A120">
        <v>119</v>
      </c>
      <c r="B120">
        <v>119</v>
      </c>
      <c r="C120" t="s">
        <v>185</v>
      </c>
      <c r="D120">
        <v>1</v>
      </c>
      <c r="E120">
        <v>1</v>
      </c>
      <c r="F120">
        <v>2</v>
      </c>
      <c r="G120">
        <v>2</v>
      </c>
      <c r="H120">
        <v>0</v>
      </c>
      <c r="I120">
        <v>4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2</v>
      </c>
      <c r="R120">
        <v>0</v>
      </c>
      <c r="S120">
        <v>2</v>
      </c>
      <c r="T120">
        <v>1</v>
      </c>
      <c r="U120">
        <v>0</v>
      </c>
      <c r="V120">
        <v>2</v>
      </c>
      <c r="W120">
        <v>2</v>
      </c>
      <c r="X120">
        <v>0</v>
      </c>
      <c r="Z120">
        <v>0</v>
      </c>
      <c r="AA120">
        <v>0</v>
      </c>
    </row>
    <row r="121" spans="1:27" x14ac:dyDescent="0.4">
      <c r="A121">
        <v>120</v>
      </c>
      <c r="B121">
        <v>120</v>
      </c>
      <c r="C121" t="s">
        <v>187</v>
      </c>
      <c r="D121">
        <v>14</v>
      </c>
      <c r="E121">
        <v>24</v>
      </c>
      <c r="F121">
        <v>36</v>
      </c>
      <c r="G121">
        <v>30</v>
      </c>
      <c r="H121">
        <v>0</v>
      </c>
      <c r="I121">
        <v>0</v>
      </c>
      <c r="J121">
        <v>0</v>
      </c>
      <c r="K121">
        <v>2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V121">
        <v>1</v>
      </c>
      <c r="W121">
        <v>0</v>
      </c>
      <c r="X121">
        <v>1</v>
      </c>
      <c r="Z121">
        <v>0</v>
      </c>
      <c r="AA121">
        <v>0</v>
      </c>
    </row>
    <row r="122" spans="1:27" x14ac:dyDescent="0.4">
      <c r="A122">
        <v>121</v>
      </c>
      <c r="B122">
        <v>121</v>
      </c>
      <c r="C122" t="s">
        <v>188</v>
      </c>
      <c r="D122">
        <v>14</v>
      </c>
      <c r="E122">
        <v>24</v>
      </c>
      <c r="F122">
        <v>36</v>
      </c>
      <c r="G122">
        <v>30</v>
      </c>
      <c r="H122">
        <v>0</v>
      </c>
      <c r="I122">
        <v>0</v>
      </c>
      <c r="J122">
        <v>0</v>
      </c>
      <c r="K122">
        <v>3</v>
      </c>
      <c r="L122">
        <v>0</v>
      </c>
      <c r="M122">
        <v>0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2</v>
      </c>
      <c r="U122">
        <v>0</v>
      </c>
      <c r="V122">
        <v>1</v>
      </c>
      <c r="W122">
        <v>0</v>
      </c>
      <c r="X122">
        <v>2</v>
      </c>
      <c r="Z122">
        <v>0</v>
      </c>
      <c r="AA122">
        <v>0</v>
      </c>
    </row>
    <row r="123" spans="1:27" x14ac:dyDescent="0.4">
      <c r="A123">
        <v>122</v>
      </c>
      <c r="B123">
        <v>122</v>
      </c>
      <c r="C123" t="s">
        <v>189</v>
      </c>
      <c r="D123">
        <v>1</v>
      </c>
      <c r="E123">
        <v>1</v>
      </c>
      <c r="F123">
        <v>1</v>
      </c>
      <c r="G123">
        <v>16</v>
      </c>
      <c r="H123">
        <v>0</v>
      </c>
      <c r="I123">
        <v>3</v>
      </c>
      <c r="J123">
        <v>0</v>
      </c>
      <c r="K123">
        <v>10</v>
      </c>
      <c r="L123">
        <v>0</v>
      </c>
      <c r="M123">
        <v>0</v>
      </c>
      <c r="N123">
        <v>1</v>
      </c>
      <c r="O123">
        <v>0</v>
      </c>
      <c r="P123">
        <v>0</v>
      </c>
      <c r="Q123">
        <v>1</v>
      </c>
      <c r="R123">
        <v>0</v>
      </c>
      <c r="S123">
        <v>1</v>
      </c>
      <c r="T123">
        <v>3</v>
      </c>
      <c r="U123">
        <v>0</v>
      </c>
      <c r="V123">
        <v>2</v>
      </c>
      <c r="W123">
        <v>3</v>
      </c>
      <c r="X123">
        <v>2</v>
      </c>
      <c r="Z123">
        <v>0</v>
      </c>
      <c r="AA123">
        <v>0</v>
      </c>
    </row>
    <row r="124" spans="1:27" x14ac:dyDescent="0.4">
      <c r="A124">
        <v>123</v>
      </c>
      <c r="B124">
        <v>123</v>
      </c>
      <c r="C124" t="s">
        <v>190</v>
      </c>
      <c r="D124">
        <v>1</v>
      </c>
      <c r="E124">
        <v>1</v>
      </c>
      <c r="F124">
        <v>2</v>
      </c>
      <c r="G124">
        <v>2</v>
      </c>
      <c r="H124">
        <v>0</v>
      </c>
      <c r="I124">
        <v>10</v>
      </c>
      <c r="J124">
        <v>0</v>
      </c>
      <c r="K124">
        <v>2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3</v>
      </c>
      <c r="R124">
        <v>0</v>
      </c>
      <c r="S124">
        <v>2</v>
      </c>
      <c r="T124">
        <v>3</v>
      </c>
      <c r="U124">
        <v>0</v>
      </c>
      <c r="V124">
        <v>4</v>
      </c>
      <c r="W124">
        <v>5</v>
      </c>
      <c r="X124">
        <v>0</v>
      </c>
      <c r="Z124">
        <v>0</v>
      </c>
      <c r="AA124">
        <v>0</v>
      </c>
    </row>
    <row r="125" spans="1:27" x14ac:dyDescent="0.4">
      <c r="A125">
        <v>124</v>
      </c>
      <c r="B125">
        <v>124</v>
      </c>
      <c r="C125" t="s">
        <v>191</v>
      </c>
      <c r="D125">
        <v>5</v>
      </c>
      <c r="E125">
        <v>8</v>
      </c>
      <c r="F125">
        <v>13</v>
      </c>
      <c r="G125">
        <v>11</v>
      </c>
      <c r="H125">
        <v>0</v>
      </c>
      <c r="I125">
        <v>3</v>
      </c>
      <c r="J125">
        <v>0</v>
      </c>
      <c r="K125">
        <v>7</v>
      </c>
      <c r="L125">
        <v>0</v>
      </c>
      <c r="M125">
        <v>0</v>
      </c>
      <c r="N125">
        <v>0</v>
      </c>
      <c r="O125">
        <v>9</v>
      </c>
      <c r="P125">
        <v>0</v>
      </c>
      <c r="Q125">
        <v>10</v>
      </c>
      <c r="R125">
        <v>0</v>
      </c>
      <c r="S125">
        <v>0</v>
      </c>
      <c r="T125">
        <v>4</v>
      </c>
      <c r="U125">
        <v>0</v>
      </c>
      <c r="V125">
        <v>0</v>
      </c>
      <c r="W125">
        <v>27</v>
      </c>
      <c r="X125">
        <v>29</v>
      </c>
      <c r="Z125">
        <v>0</v>
      </c>
      <c r="AA125">
        <v>0</v>
      </c>
    </row>
    <row r="126" spans="1:27" x14ac:dyDescent="0.4">
      <c r="A126">
        <v>125</v>
      </c>
      <c r="B126">
        <v>125</v>
      </c>
      <c r="C126" t="s">
        <v>192</v>
      </c>
      <c r="D126">
        <v>2</v>
      </c>
      <c r="E126">
        <v>3</v>
      </c>
      <c r="F126">
        <v>5</v>
      </c>
      <c r="G126">
        <v>5</v>
      </c>
      <c r="H126">
        <v>0</v>
      </c>
      <c r="I126">
        <v>0</v>
      </c>
      <c r="J126">
        <v>8</v>
      </c>
      <c r="K126">
        <v>0</v>
      </c>
      <c r="L126">
        <v>1</v>
      </c>
      <c r="M126">
        <v>0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1</v>
      </c>
      <c r="T126">
        <v>2</v>
      </c>
      <c r="U126">
        <v>2</v>
      </c>
      <c r="V126">
        <v>2</v>
      </c>
      <c r="W126">
        <v>1</v>
      </c>
      <c r="X126">
        <v>0</v>
      </c>
      <c r="Z126">
        <v>0</v>
      </c>
      <c r="AA126">
        <v>0</v>
      </c>
    </row>
    <row r="127" spans="1:27" x14ac:dyDescent="0.4">
      <c r="A127">
        <v>126</v>
      </c>
      <c r="B127">
        <v>126</v>
      </c>
      <c r="C127" t="s">
        <v>194</v>
      </c>
      <c r="D127">
        <v>15</v>
      </c>
      <c r="E127">
        <v>26</v>
      </c>
      <c r="F127">
        <v>37</v>
      </c>
      <c r="G127">
        <v>31</v>
      </c>
      <c r="H127">
        <v>0</v>
      </c>
      <c r="I127">
        <v>1</v>
      </c>
      <c r="J127">
        <v>0</v>
      </c>
      <c r="K127">
        <v>0</v>
      </c>
      <c r="L127">
        <v>-1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4</v>
      </c>
      <c r="U127">
        <v>1</v>
      </c>
      <c r="V127">
        <v>4</v>
      </c>
      <c r="W127">
        <v>2</v>
      </c>
      <c r="X127">
        <v>1</v>
      </c>
      <c r="Z127">
        <v>0</v>
      </c>
      <c r="AA127">
        <v>0</v>
      </c>
    </row>
    <row r="128" spans="1:27" x14ac:dyDescent="0.4">
      <c r="A128">
        <v>127</v>
      </c>
      <c r="B128">
        <v>127</v>
      </c>
      <c r="C128" t="s">
        <v>195</v>
      </c>
      <c r="D128">
        <v>2</v>
      </c>
      <c r="E128">
        <v>3</v>
      </c>
      <c r="F128">
        <v>32</v>
      </c>
      <c r="G128">
        <v>5</v>
      </c>
      <c r="H128">
        <v>0</v>
      </c>
      <c r="I128">
        <v>0</v>
      </c>
      <c r="J128">
        <v>14</v>
      </c>
      <c r="K128">
        <v>0</v>
      </c>
      <c r="L128">
        <v>0</v>
      </c>
      <c r="M128">
        <v>0</v>
      </c>
      <c r="N128">
        <v>2</v>
      </c>
      <c r="O128">
        <v>0</v>
      </c>
      <c r="P128">
        <v>0</v>
      </c>
      <c r="Q128">
        <v>7</v>
      </c>
      <c r="R128">
        <v>0</v>
      </c>
      <c r="S128">
        <v>1</v>
      </c>
      <c r="T128">
        <v>5</v>
      </c>
      <c r="U128">
        <v>2</v>
      </c>
      <c r="V128">
        <v>2</v>
      </c>
      <c r="W128">
        <v>1</v>
      </c>
      <c r="X128">
        <v>1</v>
      </c>
      <c r="Z128">
        <v>0</v>
      </c>
      <c r="AA128">
        <v>0</v>
      </c>
    </row>
    <row r="129" spans="1:27" x14ac:dyDescent="0.4">
      <c r="A129">
        <v>128</v>
      </c>
      <c r="B129">
        <v>128</v>
      </c>
      <c r="C129" t="s">
        <v>196</v>
      </c>
      <c r="D129">
        <v>1</v>
      </c>
      <c r="E129">
        <v>1</v>
      </c>
      <c r="F129">
        <v>3</v>
      </c>
      <c r="G129">
        <v>3</v>
      </c>
      <c r="H129">
        <v>0</v>
      </c>
      <c r="I129">
        <v>30</v>
      </c>
      <c r="J129">
        <v>0</v>
      </c>
      <c r="K129">
        <v>5</v>
      </c>
      <c r="L129">
        <v>0</v>
      </c>
      <c r="M129">
        <v>0</v>
      </c>
      <c r="N129">
        <v>-1</v>
      </c>
      <c r="O129">
        <v>0</v>
      </c>
      <c r="P129">
        <v>0</v>
      </c>
      <c r="Q129">
        <v>1</v>
      </c>
      <c r="R129">
        <v>0</v>
      </c>
      <c r="S129">
        <v>4</v>
      </c>
      <c r="T129">
        <v>5</v>
      </c>
      <c r="U129">
        <v>0</v>
      </c>
      <c r="V129">
        <v>30</v>
      </c>
      <c r="W129">
        <v>28</v>
      </c>
      <c r="X129">
        <v>0</v>
      </c>
      <c r="Z129">
        <v>0</v>
      </c>
      <c r="AA129">
        <v>0</v>
      </c>
    </row>
    <row r="130" spans="1:27" x14ac:dyDescent="0.4">
      <c r="A130">
        <v>129</v>
      </c>
      <c r="B130">
        <v>129</v>
      </c>
      <c r="C130" t="s">
        <v>198</v>
      </c>
      <c r="D130">
        <v>16</v>
      </c>
      <c r="E130">
        <v>27</v>
      </c>
      <c r="F130">
        <v>39</v>
      </c>
      <c r="G130">
        <v>32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3</v>
      </c>
      <c r="O130">
        <v>2</v>
      </c>
      <c r="P130">
        <v>0</v>
      </c>
      <c r="Q130">
        <v>2</v>
      </c>
      <c r="R130">
        <v>0</v>
      </c>
      <c r="S130">
        <v>0</v>
      </c>
      <c r="T130">
        <v>3</v>
      </c>
      <c r="U130">
        <v>1</v>
      </c>
      <c r="V130">
        <v>0</v>
      </c>
      <c r="W130">
        <v>0</v>
      </c>
      <c r="X130">
        <v>0</v>
      </c>
      <c r="Z130">
        <v>0</v>
      </c>
      <c r="AA130">
        <v>0</v>
      </c>
    </row>
    <row r="131" spans="1:27" x14ac:dyDescent="0.4">
      <c r="A131">
        <v>130</v>
      </c>
      <c r="B131">
        <v>130</v>
      </c>
      <c r="C131" t="s">
        <v>199</v>
      </c>
      <c r="D131">
        <v>1</v>
      </c>
      <c r="E131">
        <v>2</v>
      </c>
      <c r="F131">
        <v>4</v>
      </c>
      <c r="G131">
        <v>16</v>
      </c>
      <c r="H131">
        <v>0</v>
      </c>
      <c r="I131">
        <v>1</v>
      </c>
      <c r="J131">
        <v>0</v>
      </c>
      <c r="K131">
        <v>8</v>
      </c>
      <c r="L131">
        <v>0</v>
      </c>
      <c r="M131">
        <v>0</v>
      </c>
      <c r="N131">
        <v>1</v>
      </c>
      <c r="O131">
        <v>0</v>
      </c>
      <c r="P131">
        <v>0</v>
      </c>
      <c r="Q131">
        <v>1</v>
      </c>
      <c r="R131">
        <v>0</v>
      </c>
      <c r="S131">
        <v>1</v>
      </c>
      <c r="T131">
        <v>3</v>
      </c>
      <c r="U131">
        <v>0</v>
      </c>
      <c r="V131">
        <v>2</v>
      </c>
      <c r="W131">
        <v>3</v>
      </c>
      <c r="X131">
        <v>2</v>
      </c>
      <c r="Z131">
        <v>0</v>
      </c>
      <c r="AA131">
        <v>0</v>
      </c>
    </row>
    <row r="132" spans="1:27" x14ac:dyDescent="0.4">
      <c r="A132">
        <v>131</v>
      </c>
      <c r="B132">
        <v>131</v>
      </c>
      <c r="C132" t="s">
        <v>200</v>
      </c>
      <c r="D132">
        <v>4</v>
      </c>
      <c r="E132">
        <v>6</v>
      </c>
      <c r="F132">
        <v>21</v>
      </c>
      <c r="G132">
        <v>15</v>
      </c>
      <c r="H132">
        <v>0</v>
      </c>
      <c r="I132">
        <v>0</v>
      </c>
      <c r="J132">
        <v>0</v>
      </c>
      <c r="K132">
        <v>9</v>
      </c>
      <c r="L132">
        <v>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3</v>
      </c>
      <c r="U132">
        <v>0</v>
      </c>
      <c r="V132">
        <v>5</v>
      </c>
      <c r="W132">
        <v>2</v>
      </c>
      <c r="X132">
        <v>1</v>
      </c>
      <c r="Z132">
        <v>0</v>
      </c>
      <c r="AA132">
        <v>0</v>
      </c>
    </row>
    <row r="133" spans="1:27" x14ac:dyDescent="0.4">
      <c r="A133">
        <v>132</v>
      </c>
      <c r="B133">
        <v>132</v>
      </c>
      <c r="C133" t="s">
        <v>202</v>
      </c>
      <c r="D133">
        <v>7</v>
      </c>
      <c r="E133">
        <v>10</v>
      </c>
      <c r="F133">
        <v>40</v>
      </c>
      <c r="G133">
        <v>18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11</v>
      </c>
      <c r="N133">
        <v>1</v>
      </c>
      <c r="O133">
        <v>1</v>
      </c>
      <c r="P133">
        <v>0</v>
      </c>
      <c r="Q133">
        <v>1</v>
      </c>
      <c r="R133">
        <v>0</v>
      </c>
      <c r="S133">
        <v>0</v>
      </c>
      <c r="T133">
        <v>3</v>
      </c>
      <c r="U133">
        <v>0</v>
      </c>
      <c r="V133">
        <v>0</v>
      </c>
      <c r="W133">
        <v>3</v>
      </c>
      <c r="X133">
        <v>3</v>
      </c>
      <c r="Z133">
        <v>0</v>
      </c>
      <c r="AA133">
        <v>0</v>
      </c>
    </row>
    <row r="134" spans="1:27" x14ac:dyDescent="0.4">
      <c r="A134">
        <v>133</v>
      </c>
      <c r="B134">
        <v>133</v>
      </c>
      <c r="C134" t="s">
        <v>203</v>
      </c>
      <c r="D134">
        <v>1</v>
      </c>
      <c r="E134">
        <v>1</v>
      </c>
      <c r="F134">
        <v>3</v>
      </c>
      <c r="G134">
        <v>3</v>
      </c>
      <c r="H134">
        <v>0</v>
      </c>
      <c r="I134">
        <v>20</v>
      </c>
      <c r="J134">
        <v>0</v>
      </c>
      <c r="K134">
        <v>2</v>
      </c>
      <c r="L134">
        <v>0</v>
      </c>
      <c r="M134">
        <v>0</v>
      </c>
      <c r="N134">
        <v>-1</v>
      </c>
      <c r="O134">
        <v>0</v>
      </c>
      <c r="P134">
        <v>0</v>
      </c>
      <c r="Q134">
        <v>-3</v>
      </c>
      <c r="R134">
        <v>0</v>
      </c>
      <c r="S134">
        <v>4</v>
      </c>
      <c r="T134">
        <v>4</v>
      </c>
      <c r="U134">
        <v>0</v>
      </c>
      <c r="V134">
        <v>16</v>
      </c>
      <c r="W134">
        <v>21</v>
      </c>
      <c r="X134">
        <v>0</v>
      </c>
      <c r="Z134">
        <v>0</v>
      </c>
      <c r="AA134">
        <v>0</v>
      </c>
    </row>
    <row r="135" spans="1:27" x14ac:dyDescent="0.4">
      <c r="A135">
        <v>134</v>
      </c>
      <c r="B135">
        <v>134</v>
      </c>
      <c r="C135" t="s">
        <v>204</v>
      </c>
      <c r="D135">
        <v>1</v>
      </c>
      <c r="E135">
        <v>2</v>
      </c>
      <c r="F135">
        <v>4</v>
      </c>
      <c r="G135">
        <v>4</v>
      </c>
      <c r="H135">
        <v>0</v>
      </c>
      <c r="I135">
        <v>8</v>
      </c>
      <c r="J135">
        <v>0</v>
      </c>
      <c r="K135">
        <v>2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>
        <v>2</v>
      </c>
      <c r="T135">
        <v>3</v>
      </c>
      <c r="U135">
        <v>0</v>
      </c>
      <c r="V135">
        <v>2</v>
      </c>
      <c r="W135">
        <v>5</v>
      </c>
      <c r="X135">
        <v>0</v>
      </c>
      <c r="Z135">
        <v>0</v>
      </c>
      <c r="AA135">
        <v>0</v>
      </c>
    </row>
    <row r="136" spans="1:27" x14ac:dyDescent="0.4">
      <c r="A136">
        <v>135</v>
      </c>
      <c r="B136">
        <v>135</v>
      </c>
      <c r="C136" t="s">
        <v>205</v>
      </c>
      <c r="D136">
        <v>1</v>
      </c>
      <c r="E136">
        <v>2</v>
      </c>
      <c r="F136">
        <v>4</v>
      </c>
      <c r="G136">
        <v>16</v>
      </c>
      <c r="H136">
        <v>0</v>
      </c>
      <c r="I136">
        <v>1</v>
      </c>
      <c r="J136">
        <v>0</v>
      </c>
      <c r="K136">
        <v>8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0</v>
      </c>
      <c r="S136">
        <v>1</v>
      </c>
      <c r="T136">
        <v>3</v>
      </c>
      <c r="U136">
        <v>0</v>
      </c>
      <c r="V136">
        <v>1</v>
      </c>
      <c r="W136">
        <v>3</v>
      </c>
      <c r="X136">
        <v>0</v>
      </c>
      <c r="Z136">
        <v>0</v>
      </c>
      <c r="AA136">
        <v>0</v>
      </c>
    </row>
    <row r="137" spans="1:27" x14ac:dyDescent="0.4">
      <c r="A137">
        <v>136</v>
      </c>
      <c r="B137">
        <v>136</v>
      </c>
      <c r="C137" t="s">
        <v>206</v>
      </c>
      <c r="D137">
        <v>6</v>
      </c>
      <c r="E137">
        <v>17</v>
      </c>
      <c r="F137">
        <v>28</v>
      </c>
      <c r="G137">
        <v>23</v>
      </c>
      <c r="H137">
        <v>0</v>
      </c>
      <c r="I137">
        <v>0</v>
      </c>
      <c r="J137">
        <v>0</v>
      </c>
      <c r="K137">
        <v>0</v>
      </c>
      <c r="L137">
        <v>7</v>
      </c>
      <c r="M137">
        <v>0</v>
      </c>
      <c r="N137">
        <v>-1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3</v>
      </c>
      <c r="U137">
        <v>0</v>
      </c>
      <c r="V137">
        <v>0</v>
      </c>
      <c r="W137">
        <v>24</v>
      </c>
      <c r="X137">
        <v>4</v>
      </c>
      <c r="Z137">
        <v>0</v>
      </c>
      <c r="AA137">
        <v>0</v>
      </c>
    </row>
    <row r="138" spans="1:27" x14ac:dyDescent="0.4">
      <c r="A138">
        <v>137</v>
      </c>
      <c r="B138">
        <v>137</v>
      </c>
      <c r="C138" t="s">
        <v>207</v>
      </c>
      <c r="D138">
        <v>1</v>
      </c>
      <c r="E138">
        <v>1</v>
      </c>
      <c r="F138">
        <v>3</v>
      </c>
      <c r="G138">
        <v>3</v>
      </c>
      <c r="H138">
        <v>0</v>
      </c>
      <c r="I138">
        <v>21</v>
      </c>
      <c r="J138">
        <v>0</v>
      </c>
      <c r="K138">
        <v>4</v>
      </c>
      <c r="L138">
        <v>0</v>
      </c>
      <c r="M138">
        <v>0</v>
      </c>
      <c r="N138">
        <v>-1</v>
      </c>
      <c r="O138">
        <v>0</v>
      </c>
      <c r="P138">
        <v>0</v>
      </c>
      <c r="Q138">
        <v>-1</v>
      </c>
      <c r="R138">
        <v>0</v>
      </c>
      <c r="S138">
        <v>4</v>
      </c>
      <c r="T138">
        <v>5</v>
      </c>
      <c r="U138">
        <v>0</v>
      </c>
      <c r="V138">
        <v>16</v>
      </c>
      <c r="W138">
        <v>22</v>
      </c>
      <c r="X138">
        <v>1</v>
      </c>
      <c r="Z138">
        <v>0</v>
      </c>
      <c r="AA138">
        <v>0</v>
      </c>
    </row>
    <row r="139" spans="1:27" x14ac:dyDescent="0.4">
      <c r="A139">
        <v>138</v>
      </c>
      <c r="B139">
        <v>138</v>
      </c>
      <c r="C139" t="s">
        <v>209</v>
      </c>
      <c r="D139">
        <v>17</v>
      </c>
      <c r="E139">
        <v>33</v>
      </c>
      <c r="F139">
        <v>41</v>
      </c>
      <c r="G139">
        <v>33</v>
      </c>
      <c r="H139">
        <v>19</v>
      </c>
      <c r="I139">
        <v>0</v>
      </c>
      <c r="J139">
        <v>0</v>
      </c>
      <c r="K139">
        <v>0</v>
      </c>
      <c r="L139">
        <v>0</v>
      </c>
      <c r="M139">
        <v>1</v>
      </c>
      <c r="N139">
        <v>0</v>
      </c>
      <c r="O139">
        <v>12</v>
      </c>
      <c r="P139">
        <v>0</v>
      </c>
      <c r="Q139">
        <v>1</v>
      </c>
      <c r="R139">
        <v>0</v>
      </c>
      <c r="S139">
        <v>0</v>
      </c>
      <c r="T139">
        <v>4</v>
      </c>
      <c r="U139">
        <v>9</v>
      </c>
      <c r="V139">
        <v>2</v>
      </c>
      <c r="W139">
        <v>0</v>
      </c>
      <c r="X139">
        <v>26</v>
      </c>
      <c r="Z139">
        <v>20</v>
      </c>
      <c r="AA139">
        <v>25</v>
      </c>
    </row>
    <row r="140" spans="1:27" x14ac:dyDescent="0.4">
      <c r="A140">
        <v>139</v>
      </c>
      <c r="B140">
        <v>139</v>
      </c>
      <c r="C140" t="s">
        <v>210</v>
      </c>
      <c r="D140">
        <v>1</v>
      </c>
      <c r="E140">
        <v>1</v>
      </c>
      <c r="F140">
        <v>2</v>
      </c>
      <c r="G140">
        <v>2</v>
      </c>
      <c r="H140">
        <v>0</v>
      </c>
      <c r="I140">
        <v>6</v>
      </c>
      <c r="J140">
        <v>0</v>
      </c>
      <c r="K140">
        <v>3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4</v>
      </c>
      <c r="R140">
        <v>0</v>
      </c>
      <c r="S140">
        <v>2</v>
      </c>
      <c r="T140">
        <v>3</v>
      </c>
      <c r="U140">
        <v>0</v>
      </c>
      <c r="V140">
        <v>2</v>
      </c>
      <c r="W140">
        <v>3</v>
      </c>
      <c r="X140">
        <v>1</v>
      </c>
      <c r="Z140">
        <v>0</v>
      </c>
      <c r="AA140">
        <v>0</v>
      </c>
    </row>
    <row r="141" spans="1:27" x14ac:dyDescent="0.4">
      <c r="A141">
        <v>140</v>
      </c>
      <c r="B141">
        <v>140</v>
      </c>
      <c r="C141" t="s">
        <v>212</v>
      </c>
      <c r="D141">
        <v>8</v>
      </c>
      <c r="E141">
        <v>18</v>
      </c>
      <c r="F141">
        <v>42</v>
      </c>
      <c r="G141">
        <v>24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3</v>
      </c>
      <c r="P141">
        <v>0</v>
      </c>
      <c r="Q141">
        <v>0</v>
      </c>
      <c r="R141">
        <v>0</v>
      </c>
      <c r="S141">
        <v>0</v>
      </c>
      <c r="T141">
        <v>3</v>
      </c>
      <c r="U141">
        <v>0</v>
      </c>
      <c r="V141">
        <v>0</v>
      </c>
      <c r="W141">
        <v>1</v>
      </c>
      <c r="X141">
        <v>3</v>
      </c>
      <c r="Z141">
        <v>0</v>
      </c>
      <c r="AA141">
        <v>0</v>
      </c>
    </row>
    <row r="142" spans="1:27" x14ac:dyDescent="0.4">
      <c r="A142">
        <v>141</v>
      </c>
      <c r="B142">
        <v>141</v>
      </c>
      <c r="C142" t="s">
        <v>213</v>
      </c>
      <c r="D142">
        <v>5</v>
      </c>
      <c r="E142">
        <v>8</v>
      </c>
      <c r="F142">
        <v>13</v>
      </c>
      <c r="G142">
        <v>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11</v>
      </c>
      <c r="P142">
        <v>0</v>
      </c>
      <c r="Q142">
        <v>9</v>
      </c>
      <c r="R142">
        <v>0</v>
      </c>
      <c r="S142">
        <v>0</v>
      </c>
      <c r="T142">
        <v>4</v>
      </c>
      <c r="U142">
        <v>0</v>
      </c>
      <c r="V142">
        <v>0</v>
      </c>
      <c r="W142">
        <v>22</v>
      </c>
      <c r="X142">
        <v>26</v>
      </c>
      <c r="Z142">
        <v>0</v>
      </c>
      <c r="AA142">
        <v>0</v>
      </c>
    </row>
    <row r="143" spans="1:27" x14ac:dyDescent="0.4">
      <c r="A143">
        <v>142</v>
      </c>
      <c r="B143">
        <v>142</v>
      </c>
      <c r="C143" t="s">
        <v>214</v>
      </c>
      <c r="D143">
        <v>5</v>
      </c>
      <c r="E143">
        <v>8</v>
      </c>
      <c r="F143">
        <v>13</v>
      </c>
      <c r="G143">
        <v>11</v>
      </c>
      <c r="H143">
        <v>0</v>
      </c>
      <c r="I143">
        <v>1</v>
      </c>
      <c r="J143">
        <v>0</v>
      </c>
      <c r="K143">
        <v>8</v>
      </c>
      <c r="L143">
        <v>1</v>
      </c>
      <c r="M143">
        <v>0</v>
      </c>
      <c r="N143">
        <v>1</v>
      </c>
      <c r="O143">
        <v>7</v>
      </c>
      <c r="P143">
        <v>0</v>
      </c>
      <c r="Q143">
        <v>9</v>
      </c>
      <c r="R143">
        <v>0</v>
      </c>
      <c r="S143">
        <v>0</v>
      </c>
      <c r="T143">
        <v>4</v>
      </c>
      <c r="U143">
        <v>0</v>
      </c>
      <c r="V143">
        <v>0</v>
      </c>
      <c r="W143">
        <v>26</v>
      </c>
      <c r="X143">
        <v>28</v>
      </c>
      <c r="Z143">
        <v>0</v>
      </c>
      <c r="AA143">
        <v>0</v>
      </c>
    </row>
    <row r="144" spans="1:27" x14ac:dyDescent="0.4">
      <c r="A144">
        <v>143</v>
      </c>
      <c r="B144">
        <v>143</v>
      </c>
      <c r="C144" t="s">
        <v>215</v>
      </c>
      <c r="D144">
        <v>3</v>
      </c>
      <c r="E144">
        <v>5</v>
      </c>
      <c r="F144">
        <v>8</v>
      </c>
      <c r="G144">
        <v>8</v>
      </c>
      <c r="H144">
        <v>1</v>
      </c>
      <c r="I144">
        <v>0</v>
      </c>
      <c r="J144">
        <v>12</v>
      </c>
      <c r="K144">
        <v>1</v>
      </c>
      <c r="L144">
        <v>0</v>
      </c>
      <c r="M144">
        <v>5</v>
      </c>
      <c r="N144">
        <v>0</v>
      </c>
      <c r="O144">
        <v>4</v>
      </c>
      <c r="P144">
        <v>0</v>
      </c>
      <c r="Q144">
        <v>2</v>
      </c>
      <c r="R144">
        <v>0</v>
      </c>
      <c r="S144">
        <v>0</v>
      </c>
      <c r="T144">
        <v>4</v>
      </c>
      <c r="U144">
        <v>1</v>
      </c>
      <c r="V144">
        <v>1</v>
      </c>
      <c r="W144">
        <v>0</v>
      </c>
      <c r="X144">
        <v>2</v>
      </c>
      <c r="Z144">
        <v>4</v>
      </c>
      <c r="AA144">
        <v>5</v>
      </c>
    </row>
    <row r="145" spans="1:27" x14ac:dyDescent="0.4">
      <c r="A145">
        <v>144</v>
      </c>
      <c r="B145">
        <v>144</v>
      </c>
      <c r="C145" t="s">
        <v>216</v>
      </c>
      <c r="D145">
        <v>3</v>
      </c>
      <c r="E145">
        <v>5</v>
      </c>
      <c r="F145">
        <v>8</v>
      </c>
      <c r="G145">
        <v>8</v>
      </c>
      <c r="H145">
        <v>1</v>
      </c>
      <c r="I145">
        <v>0</v>
      </c>
      <c r="J145">
        <v>15</v>
      </c>
      <c r="K145">
        <v>1</v>
      </c>
      <c r="L145">
        <v>0</v>
      </c>
      <c r="M145">
        <v>6</v>
      </c>
      <c r="N145">
        <v>0</v>
      </c>
      <c r="O145">
        <v>4</v>
      </c>
      <c r="P145">
        <v>0</v>
      </c>
      <c r="Q145">
        <v>2</v>
      </c>
      <c r="R145">
        <v>0</v>
      </c>
      <c r="S145">
        <v>0</v>
      </c>
      <c r="T145">
        <v>5</v>
      </c>
      <c r="U145">
        <v>2</v>
      </c>
      <c r="V145">
        <v>4</v>
      </c>
      <c r="W145">
        <v>0</v>
      </c>
      <c r="X145">
        <v>4</v>
      </c>
      <c r="Z145">
        <v>5</v>
      </c>
      <c r="AA145">
        <v>6</v>
      </c>
    </row>
    <row r="146" spans="1:27" x14ac:dyDescent="0.4">
      <c r="A146">
        <v>145</v>
      </c>
      <c r="B146">
        <v>145</v>
      </c>
      <c r="C146" t="s">
        <v>217</v>
      </c>
      <c r="D146">
        <v>18</v>
      </c>
      <c r="E146">
        <v>34</v>
      </c>
      <c r="F146">
        <v>43</v>
      </c>
      <c r="G146">
        <v>34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1</v>
      </c>
      <c r="V146">
        <v>0</v>
      </c>
      <c r="W146">
        <v>0</v>
      </c>
      <c r="X146">
        <v>0</v>
      </c>
      <c r="Z146">
        <v>0</v>
      </c>
      <c r="AA146">
        <v>0</v>
      </c>
    </row>
    <row r="147" spans="1:27" x14ac:dyDescent="0.4">
      <c r="A147">
        <v>146</v>
      </c>
      <c r="B147">
        <v>146</v>
      </c>
      <c r="C147" t="s">
        <v>219</v>
      </c>
      <c r="D147">
        <v>19</v>
      </c>
      <c r="E147">
        <v>35</v>
      </c>
      <c r="F147">
        <v>44</v>
      </c>
      <c r="G147">
        <v>35</v>
      </c>
      <c r="H147">
        <v>0</v>
      </c>
      <c r="I147">
        <v>0</v>
      </c>
      <c r="J147">
        <v>0</v>
      </c>
      <c r="K147">
        <v>0</v>
      </c>
      <c r="L147">
        <v>-2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2</v>
      </c>
      <c r="U147">
        <v>30</v>
      </c>
      <c r="V147">
        <v>30</v>
      </c>
      <c r="W147">
        <v>0</v>
      </c>
      <c r="X147">
        <v>0</v>
      </c>
      <c r="Z147">
        <v>0</v>
      </c>
      <c r="AA147">
        <v>0</v>
      </c>
    </row>
    <row r="148" spans="1:27" x14ac:dyDescent="0.4">
      <c r="A148">
        <v>147</v>
      </c>
      <c r="B148">
        <v>147</v>
      </c>
      <c r="C148" t="s">
        <v>220</v>
      </c>
      <c r="D148">
        <v>1</v>
      </c>
      <c r="E148">
        <v>1</v>
      </c>
      <c r="F148">
        <v>1</v>
      </c>
      <c r="G148">
        <v>1</v>
      </c>
      <c r="H148">
        <v>0</v>
      </c>
      <c r="I148">
        <v>3</v>
      </c>
      <c r="J148">
        <v>0</v>
      </c>
      <c r="K148">
        <v>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</v>
      </c>
      <c r="R148">
        <v>0</v>
      </c>
      <c r="S148">
        <v>1</v>
      </c>
      <c r="T148">
        <v>2</v>
      </c>
      <c r="U148">
        <v>0</v>
      </c>
      <c r="V148">
        <v>1</v>
      </c>
      <c r="W148">
        <v>2</v>
      </c>
      <c r="X148">
        <v>0</v>
      </c>
      <c r="Z148">
        <v>0</v>
      </c>
      <c r="AA148">
        <v>0</v>
      </c>
    </row>
    <row r="149" spans="1:27" x14ac:dyDescent="0.4">
      <c r="A149">
        <v>148</v>
      </c>
      <c r="B149">
        <v>148</v>
      </c>
      <c r="C149" t="s">
        <v>221</v>
      </c>
      <c r="D149">
        <v>3</v>
      </c>
      <c r="E149">
        <v>5</v>
      </c>
      <c r="F149">
        <v>7</v>
      </c>
      <c r="G149">
        <v>7</v>
      </c>
      <c r="H149">
        <v>24</v>
      </c>
      <c r="I149">
        <v>0</v>
      </c>
      <c r="J149">
        <v>0</v>
      </c>
      <c r="K149">
        <v>1</v>
      </c>
      <c r="L149">
        <v>0</v>
      </c>
      <c r="M149">
        <v>4</v>
      </c>
      <c r="N149">
        <v>0</v>
      </c>
      <c r="O149">
        <v>2</v>
      </c>
      <c r="P149">
        <v>0</v>
      </c>
      <c r="Q149">
        <v>0</v>
      </c>
      <c r="R149">
        <v>11</v>
      </c>
      <c r="S149">
        <v>0</v>
      </c>
      <c r="T149">
        <v>5</v>
      </c>
      <c r="U149">
        <v>4</v>
      </c>
      <c r="V149">
        <v>5</v>
      </c>
      <c r="W149">
        <v>0</v>
      </c>
      <c r="X149">
        <v>15</v>
      </c>
      <c r="Z149">
        <v>5</v>
      </c>
      <c r="AA149">
        <v>9</v>
      </c>
    </row>
    <row r="150" spans="1:27" x14ac:dyDescent="0.4">
      <c r="A150">
        <v>149</v>
      </c>
      <c r="B150">
        <v>149</v>
      </c>
      <c r="C150" t="s">
        <v>222</v>
      </c>
      <c r="D150">
        <v>7</v>
      </c>
      <c r="E150">
        <v>10</v>
      </c>
      <c r="F150">
        <v>14</v>
      </c>
      <c r="G150">
        <v>18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12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4</v>
      </c>
      <c r="U150">
        <v>0</v>
      </c>
      <c r="V150">
        <v>0</v>
      </c>
      <c r="W150">
        <v>1</v>
      </c>
      <c r="X150">
        <v>3</v>
      </c>
      <c r="Z150">
        <v>0</v>
      </c>
      <c r="AA150">
        <v>0</v>
      </c>
    </row>
    <row r="151" spans="1:27" x14ac:dyDescent="0.4">
      <c r="A151">
        <v>150</v>
      </c>
      <c r="B151">
        <v>150</v>
      </c>
      <c r="C151" t="s">
        <v>223</v>
      </c>
      <c r="D151">
        <v>18</v>
      </c>
      <c r="E151">
        <v>34</v>
      </c>
      <c r="F151">
        <v>43</v>
      </c>
      <c r="G151">
        <v>34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2</v>
      </c>
      <c r="U151">
        <v>1</v>
      </c>
      <c r="V151">
        <v>0</v>
      </c>
      <c r="W151">
        <v>0</v>
      </c>
      <c r="X151">
        <v>1</v>
      </c>
      <c r="Z151">
        <v>0</v>
      </c>
      <c r="AA151">
        <v>0</v>
      </c>
    </row>
    <row r="152" spans="1:27" x14ac:dyDescent="0.4">
      <c r="A152">
        <v>151</v>
      </c>
      <c r="B152">
        <v>151</v>
      </c>
      <c r="C152" t="s">
        <v>224</v>
      </c>
      <c r="D152">
        <v>5</v>
      </c>
      <c r="E152">
        <v>7</v>
      </c>
      <c r="F152">
        <v>9</v>
      </c>
      <c r="G152">
        <v>9</v>
      </c>
      <c r="H152">
        <v>1</v>
      </c>
      <c r="I152">
        <v>2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11</v>
      </c>
      <c r="P152">
        <v>0</v>
      </c>
      <c r="Q152">
        <v>2</v>
      </c>
      <c r="R152">
        <v>0</v>
      </c>
      <c r="S152">
        <v>0</v>
      </c>
      <c r="T152">
        <v>5</v>
      </c>
      <c r="U152">
        <v>4</v>
      </c>
      <c r="V152">
        <v>0</v>
      </c>
      <c r="W152">
        <v>0</v>
      </c>
      <c r="X152">
        <v>14</v>
      </c>
      <c r="Z152">
        <v>8</v>
      </c>
      <c r="AA152">
        <v>12</v>
      </c>
    </row>
    <row r="153" spans="1:27" x14ac:dyDescent="0.4">
      <c r="A153">
        <v>152</v>
      </c>
      <c r="B153">
        <v>152</v>
      </c>
      <c r="C153" t="s">
        <v>225</v>
      </c>
      <c r="D153">
        <v>3</v>
      </c>
      <c r="E153">
        <v>5</v>
      </c>
      <c r="F153">
        <v>6</v>
      </c>
      <c r="G153">
        <v>6</v>
      </c>
      <c r="H153">
        <v>12</v>
      </c>
      <c r="I153">
        <v>0</v>
      </c>
      <c r="J153">
        <v>0</v>
      </c>
      <c r="K153">
        <v>9</v>
      </c>
      <c r="L153">
        <v>0</v>
      </c>
      <c r="M153">
        <v>0</v>
      </c>
      <c r="N153">
        <v>2</v>
      </c>
      <c r="O153">
        <v>1</v>
      </c>
      <c r="P153">
        <v>0</v>
      </c>
      <c r="Q153">
        <v>1</v>
      </c>
      <c r="R153">
        <v>0</v>
      </c>
      <c r="S153">
        <v>0</v>
      </c>
      <c r="T153">
        <v>3</v>
      </c>
      <c r="U153">
        <v>1</v>
      </c>
      <c r="V153">
        <v>2</v>
      </c>
      <c r="W153">
        <v>0</v>
      </c>
      <c r="X153">
        <v>3</v>
      </c>
      <c r="Z153">
        <v>6</v>
      </c>
      <c r="AA153">
        <v>5</v>
      </c>
    </row>
    <row r="154" spans="1:27" x14ac:dyDescent="0.4">
      <c r="A154">
        <v>153</v>
      </c>
      <c r="B154">
        <v>153</v>
      </c>
      <c r="C154" t="s">
        <v>226</v>
      </c>
      <c r="D154">
        <v>3</v>
      </c>
      <c r="E154">
        <v>5</v>
      </c>
      <c r="F154">
        <v>6</v>
      </c>
      <c r="G154">
        <v>6</v>
      </c>
      <c r="H154">
        <v>12</v>
      </c>
      <c r="I154">
        <v>0</v>
      </c>
      <c r="J154">
        <v>0</v>
      </c>
      <c r="K154">
        <v>10</v>
      </c>
      <c r="L154">
        <v>0</v>
      </c>
      <c r="M154">
        <v>0</v>
      </c>
      <c r="N154">
        <v>2</v>
      </c>
      <c r="O154">
        <v>1</v>
      </c>
      <c r="P154">
        <v>0</v>
      </c>
      <c r="Q154">
        <v>1</v>
      </c>
      <c r="R154">
        <v>0</v>
      </c>
      <c r="S154">
        <v>0</v>
      </c>
      <c r="T154">
        <v>4</v>
      </c>
      <c r="U154">
        <v>1</v>
      </c>
      <c r="V154">
        <v>2</v>
      </c>
      <c r="W154">
        <v>0</v>
      </c>
      <c r="X154">
        <v>4</v>
      </c>
      <c r="Z154">
        <v>6</v>
      </c>
      <c r="AA154">
        <v>5</v>
      </c>
    </row>
    <row r="155" spans="1:27" x14ac:dyDescent="0.4">
      <c r="A155">
        <v>154</v>
      </c>
      <c r="B155">
        <v>154</v>
      </c>
      <c r="C155" t="s">
        <v>227</v>
      </c>
      <c r="D155">
        <v>3</v>
      </c>
      <c r="E155">
        <v>5</v>
      </c>
      <c r="F155">
        <v>7</v>
      </c>
      <c r="G155">
        <v>7</v>
      </c>
      <c r="H155">
        <v>12</v>
      </c>
      <c r="I155">
        <v>0</v>
      </c>
      <c r="J155">
        <v>0</v>
      </c>
      <c r="K155">
        <v>7</v>
      </c>
      <c r="L155">
        <v>0</v>
      </c>
      <c r="M155">
        <v>3</v>
      </c>
      <c r="N155">
        <v>2</v>
      </c>
      <c r="O155">
        <v>1</v>
      </c>
      <c r="P155">
        <v>0</v>
      </c>
      <c r="Q155">
        <v>1</v>
      </c>
      <c r="R155">
        <v>4</v>
      </c>
      <c r="S155">
        <v>0</v>
      </c>
      <c r="T155">
        <v>5</v>
      </c>
      <c r="U155">
        <v>1</v>
      </c>
      <c r="V155">
        <v>3</v>
      </c>
      <c r="W155">
        <v>0</v>
      </c>
      <c r="X155">
        <v>4</v>
      </c>
      <c r="Z155">
        <v>5</v>
      </c>
      <c r="AA155">
        <v>5</v>
      </c>
    </row>
    <row r="156" spans="1:27" x14ac:dyDescent="0.4">
      <c r="A156">
        <v>155</v>
      </c>
      <c r="B156">
        <v>155</v>
      </c>
      <c r="C156" t="s">
        <v>228</v>
      </c>
      <c r="D156">
        <v>3</v>
      </c>
      <c r="E156">
        <v>5</v>
      </c>
      <c r="F156">
        <v>6</v>
      </c>
      <c r="G156">
        <v>6</v>
      </c>
      <c r="H156">
        <v>11</v>
      </c>
      <c r="I156">
        <v>0</v>
      </c>
      <c r="J156">
        <v>0</v>
      </c>
      <c r="K156">
        <v>9</v>
      </c>
      <c r="L156">
        <v>0</v>
      </c>
      <c r="M156">
        <v>0</v>
      </c>
      <c r="N156">
        <v>3</v>
      </c>
      <c r="O156">
        <v>1</v>
      </c>
      <c r="P156">
        <v>0</v>
      </c>
      <c r="Q156">
        <v>1</v>
      </c>
      <c r="R156">
        <v>0</v>
      </c>
      <c r="S156">
        <v>0</v>
      </c>
      <c r="T156">
        <v>3</v>
      </c>
      <c r="U156">
        <v>1</v>
      </c>
      <c r="V156">
        <v>2</v>
      </c>
      <c r="W156">
        <v>0</v>
      </c>
      <c r="X156">
        <v>2</v>
      </c>
      <c r="Z156">
        <v>7</v>
      </c>
      <c r="AA156">
        <v>4</v>
      </c>
    </row>
    <row r="157" spans="1:27" x14ac:dyDescent="0.4">
      <c r="A157">
        <v>156</v>
      </c>
      <c r="B157">
        <v>156</v>
      </c>
      <c r="C157" t="s">
        <v>229</v>
      </c>
      <c r="D157">
        <v>3</v>
      </c>
      <c r="E157">
        <v>5</v>
      </c>
      <c r="F157">
        <v>6</v>
      </c>
      <c r="G157">
        <v>6</v>
      </c>
      <c r="H157">
        <v>12</v>
      </c>
      <c r="I157">
        <v>0</v>
      </c>
      <c r="J157">
        <v>0</v>
      </c>
      <c r="K157">
        <v>11</v>
      </c>
      <c r="L157">
        <v>0</v>
      </c>
      <c r="M157">
        <v>0</v>
      </c>
      <c r="N157">
        <v>3</v>
      </c>
      <c r="O157">
        <v>1</v>
      </c>
      <c r="P157">
        <v>0</v>
      </c>
      <c r="Q157">
        <v>1</v>
      </c>
      <c r="R157">
        <v>0</v>
      </c>
      <c r="S157">
        <v>0</v>
      </c>
      <c r="T157">
        <v>4</v>
      </c>
      <c r="U157">
        <v>1</v>
      </c>
      <c r="V157">
        <v>2</v>
      </c>
      <c r="W157">
        <v>0</v>
      </c>
      <c r="X157">
        <v>4</v>
      </c>
      <c r="Z157">
        <v>6</v>
      </c>
      <c r="AA157">
        <v>5</v>
      </c>
    </row>
    <row r="158" spans="1:27" x14ac:dyDescent="0.4">
      <c r="A158">
        <v>157</v>
      </c>
      <c r="B158">
        <v>157</v>
      </c>
      <c r="C158" t="s">
        <v>230</v>
      </c>
      <c r="D158">
        <v>3</v>
      </c>
      <c r="E158">
        <v>5</v>
      </c>
      <c r="F158">
        <v>6</v>
      </c>
      <c r="G158">
        <v>6</v>
      </c>
      <c r="H158">
        <v>12</v>
      </c>
      <c r="I158">
        <v>0</v>
      </c>
      <c r="J158">
        <v>0</v>
      </c>
      <c r="K158">
        <v>12</v>
      </c>
      <c r="L158">
        <v>0</v>
      </c>
      <c r="M158">
        <v>0</v>
      </c>
      <c r="N158">
        <v>4</v>
      </c>
      <c r="O158">
        <v>3</v>
      </c>
      <c r="P158">
        <v>0</v>
      </c>
      <c r="Q158">
        <v>2</v>
      </c>
      <c r="R158">
        <v>0</v>
      </c>
      <c r="S158">
        <v>0</v>
      </c>
      <c r="T158">
        <v>5</v>
      </c>
      <c r="U158">
        <v>1</v>
      </c>
      <c r="V158">
        <v>2</v>
      </c>
      <c r="W158">
        <v>0</v>
      </c>
      <c r="X158">
        <v>5</v>
      </c>
      <c r="Z158">
        <v>6</v>
      </c>
      <c r="AA158">
        <v>6</v>
      </c>
    </row>
    <row r="159" spans="1:27" x14ac:dyDescent="0.4">
      <c r="A159">
        <v>158</v>
      </c>
      <c r="B159">
        <v>158</v>
      </c>
      <c r="C159" t="s">
        <v>231</v>
      </c>
      <c r="D159">
        <v>3</v>
      </c>
      <c r="E159">
        <v>5</v>
      </c>
      <c r="F159">
        <v>6</v>
      </c>
      <c r="G159">
        <v>6</v>
      </c>
      <c r="H159">
        <v>14</v>
      </c>
      <c r="I159">
        <v>1</v>
      </c>
      <c r="J159">
        <v>0</v>
      </c>
      <c r="K159">
        <v>8</v>
      </c>
      <c r="L159">
        <v>0</v>
      </c>
      <c r="M159">
        <v>0</v>
      </c>
      <c r="N159">
        <v>4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3</v>
      </c>
      <c r="U159">
        <v>1</v>
      </c>
      <c r="V159">
        <v>2</v>
      </c>
      <c r="W159">
        <v>0</v>
      </c>
      <c r="X159">
        <v>6</v>
      </c>
      <c r="Z159">
        <v>2</v>
      </c>
      <c r="AA159">
        <v>6</v>
      </c>
    </row>
    <row r="160" spans="1:27" x14ac:dyDescent="0.4">
      <c r="A160">
        <v>159</v>
      </c>
      <c r="B160">
        <v>159</v>
      </c>
      <c r="C160" t="s">
        <v>232</v>
      </c>
      <c r="D160">
        <v>3</v>
      </c>
      <c r="E160">
        <v>5</v>
      </c>
      <c r="F160">
        <v>6</v>
      </c>
      <c r="G160">
        <v>6</v>
      </c>
      <c r="H160">
        <v>37</v>
      </c>
      <c r="I160">
        <v>2</v>
      </c>
      <c r="J160">
        <v>0</v>
      </c>
      <c r="K160">
        <v>10</v>
      </c>
      <c r="L160">
        <v>0</v>
      </c>
      <c r="M160">
        <v>0</v>
      </c>
      <c r="N160">
        <v>2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4</v>
      </c>
      <c r="U160">
        <v>2</v>
      </c>
      <c r="V160">
        <v>3</v>
      </c>
      <c r="W160">
        <v>0</v>
      </c>
      <c r="X160">
        <v>8</v>
      </c>
      <c r="Z160">
        <v>3</v>
      </c>
      <c r="AA160">
        <v>6</v>
      </c>
    </row>
    <row r="161" spans="1:27" x14ac:dyDescent="0.4">
      <c r="A161">
        <v>160</v>
      </c>
      <c r="B161">
        <v>160</v>
      </c>
      <c r="C161" t="s">
        <v>233</v>
      </c>
      <c r="D161">
        <v>1</v>
      </c>
      <c r="E161">
        <v>2</v>
      </c>
      <c r="F161">
        <v>4</v>
      </c>
      <c r="G161">
        <v>16</v>
      </c>
      <c r="H161">
        <v>0</v>
      </c>
      <c r="I161">
        <v>3</v>
      </c>
      <c r="J161">
        <v>0</v>
      </c>
      <c r="K161">
        <v>6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2</v>
      </c>
      <c r="R161">
        <v>0</v>
      </c>
      <c r="S161">
        <v>1</v>
      </c>
      <c r="T161">
        <v>3</v>
      </c>
      <c r="U161">
        <v>0</v>
      </c>
      <c r="V161">
        <v>2</v>
      </c>
      <c r="W161">
        <v>4</v>
      </c>
      <c r="X161">
        <v>0</v>
      </c>
      <c r="Z161">
        <v>0</v>
      </c>
      <c r="AA161">
        <v>0</v>
      </c>
    </row>
    <row r="162" spans="1:27" x14ac:dyDescent="0.4">
      <c r="A162">
        <v>161</v>
      </c>
      <c r="B162">
        <v>161</v>
      </c>
      <c r="C162" t="s">
        <v>234</v>
      </c>
      <c r="D162">
        <v>1</v>
      </c>
      <c r="E162">
        <v>1</v>
      </c>
      <c r="F162">
        <v>3</v>
      </c>
      <c r="G162">
        <v>3</v>
      </c>
      <c r="H162">
        <v>0</v>
      </c>
      <c r="I162">
        <v>24</v>
      </c>
      <c r="J162">
        <v>0</v>
      </c>
      <c r="K162">
        <v>3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4</v>
      </c>
      <c r="R162">
        <v>0</v>
      </c>
      <c r="S162">
        <v>3</v>
      </c>
      <c r="T162">
        <v>5</v>
      </c>
      <c r="U162">
        <v>0</v>
      </c>
      <c r="V162">
        <v>20</v>
      </c>
      <c r="W162">
        <v>22</v>
      </c>
      <c r="X162">
        <v>2</v>
      </c>
      <c r="Z162">
        <v>0</v>
      </c>
      <c r="AA162">
        <v>0</v>
      </c>
    </row>
    <row r="163" spans="1:27" x14ac:dyDescent="0.4">
      <c r="A163">
        <v>162</v>
      </c>
      <c r="B163">
        <v>162</v>
      </c>
      <c r="C163" t="s">
        <v>235</v>
      </c>
      <c r="D163">
        <v>1</v>
      </c>
      <c r="E163">
        <v>1</v>
      </c>
      <c r="F163">
        <v>2</v>
      </c>
      <c r="G163">
        <v>2</v>
      </c>
      <c r="H163">
        <v>0</v>
      </c>
      <c r="I163">
        <v>9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-2</v>
      </c>
      <c r="R163">
        <v>0</v>
      </c>
      <c r="S163">
        <v>3</v>
      </c>
      <c r="T163">
        <v>3</v>
      </c>
      <c r="U163">
        <v>0</v>
      </c>
      <c r="V163">
        <v>4</v>
      </c>
      <c r="W163">
        <v>4</v>
      </c>
      <c r="X163">
        <v>0</v>
      </c>
      <c r="Z163">
        <v>0</v>
      </c>
      <c r="AA163">
        <v>0</v>
      </c>
    </row>
    <row r="164" spans="1:27" x14ac:dyDescent="0.4">
      <c r="A164">
        <v>163</v>
      </c>
      <c r="B164">
        <v>163</v>
      </c>
      <c r="C164" t="s">
        <v>236</v>
      </c>
      <c r="D164">
        <v>5</v>
      </c>
      <c r="E164">
        <v>7</v>
      </c>
      <c r="F164">
        <v>10</v>
      </c>
      <c r="G164">
        <v>10</v>
      </c>
      <c r="H164">
        <v>25</v>
      </c>
      <c r="I164">
        <v>1</v>
      </c>
      <c r="J164">
        <v>0</v>
      </c>
      <c r="K164">
        <v>1</v>
      </c>
      <c r="L164">
        <v>0</v>
      </c>
      <c r="M164">
        <v>2</v>
      </c>
      <c r="N164">
        <v>1</v>
      </c>
      <c r="O164">
        <v>4</v>
      </c>
      <c r="P164">
        <v>0</v>
      </c>
      <c r="Q164">
        <v>2</v>
      </c>
      <c r="R164">
        <v>0</v>
      </c>
      <c r="S164">
        <v>0</v>
      </c>
      <c r="T164">
        <v>3</v>
      </c>
      <c r="U164">
        <v>1</v>
      </c>
      <c r="V164">
        <v>1</v>
      </c>
      <c r="W164">
        <v>0</v>
      </c>
      <c r="X164">
        <v>2</v>
      </c>
      <c r="Z164">
        <v>3</v>
      </c>
      <c r="AA164">
        <v>4</v>
      </c>
    </row>
    <row r="165" spans="1:27" x14ac:dyDescent="0.4">
      <c r="A165">
        <v>164</v>
      </c>
      <c r="B165">
        <v>164</v>
      </c>
      <c r="C165" t="s">
        <v>238</v>
      </c>
      <c r="D165">
        <v>5</v>
      </c>
      <c r="E165">
        <v>36</v>
      </c>
      <c r="F165">
        <v>45</v>
      </c>
      <c r="G165">
        <v>43</v>
      </c>
      <c r="H165">
        <v>25</v>
      </c>
      <c r="I165">
        <v>0</v>
      </c>
      <c r="J165">
        <v>0</v>
      </c>
      <c r="K165">
        <v>2</v>
      </c>
      <c r="L165">
        <v>0</v>
      </c>
      <c r="M165">
        <v>1</v>
      </c>
      <c r="N165">
        <v>2</v>
      </c>
      <c r="O165">
        <v>2</v>
      </c>
      <c r="P165">
        <v>0</v>
      </c>
      <c r="Q165">
        <v>1</v>
      </c>
      <c r="R165">
        <v>0</v>
      </c>
      <c r="S165">
        <v>0</v>
      </c>
      <c r="T165">
        <v>3</v>
      </c>
      <c r="U165">
        <v>1</v>
      </c>
      <c r="V165">
        <v>1</v>
      </c>
      <c r="W165">
        <v>0</v>
      </c>
      <c r="X165">
        <v>2</v>
      </c>
      <c r="Z165">
        <v>3</v>
      </c>
      <c r="AA165">
        <v>4</v>
      </c>
    </row>
    <row r="166" spans="1:27" x14ac:dyDescent="0.4">
      <c r="A166">
        <v>165</v>
      </c>
      <c r="B166">
        <v>165</v>
      </c>
      <c r="C166" t="s">
        <v>239</v>
      </c>
      <c r="D166">
        <v>5</v>
      </c>
      <c r="E166">
        <v>36</v>
      </c>
      <c r="F166">
        <v>45</v>
      </c>
      <c r="G166">
        <v>43</v>
      </c>
      <c r="H166">
        <v>3</v>
      </c>
      <c r="I166">
        <v>0</v>
      </c>
      <c r="J166">
        <v>0</v>
      </c>
      <c r="K166">
        <v>3</v>
      </c>
      <c r="L166">
        <v>0</v>
      </c>
      <c r="M166">
        <v>1</v>
      </c>
      <c r="N166">
        <v>2</v>
      </c>
      <c r="O166">
        <v>1</v>
      </c>
      <c r="P166">
        <v>0</v>
      </c>
      <c r="Q166">
        <v>1</v>
      </c>
      <c r="R166">
        <v>0</v>
      </c>
      <c r="S166">
        <v>0</v>
      </c>
      <c r="T166">
        <v>2</v>
      </c>
      <c r="U166">
        <v>1</v>
      </c>
      <c r="V166">
        <v>1</v>
      </c>
      <c r="W166">
        <v>0</v>
      </c>
      <c r="X166">
        <v>4</v>
      </c>
      <c r="Z166">
        <v>4</v>
      </c>
      <c r="AA166">
        <v>5</v>
      </c>
    </row>
    <row r="167" spans="1:27" x14ac:dyDescent="0.4">
      <c r="A167">
        <v>166</v>
      </c>
      <c r="B167">
        <v>166</v>
      </c>
      <c r="C167" t="s">
        <v>240</v>
      </c>
      <c r="D167">
        <v>8</v>
      </c>
      <c r="E167">
        <v>14</v>
      </c>
      <c r="F167">
        <v>24</v>
      </c>
      <c r="G167">
        <v>20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2</v>
      </c>
      <c r="U167">
        <v>1</v>
      </c>
      <c r="V167">
        <v>2</v>
      </c>
      <c r="W167">
        <v>4</v>
      </c>
      <c r="X167">
        <v>1</v>
      </c>
      <c r="Z167">
        <v>0</v>
      </c>
      <c r="AA167">
        <v>0</v>
      </c>
    </row>
    <row r="168" spans="1:27" x14ac:dyDescent="0.4">
      <c r="A168">
        <v>167</v>
      </c>
      <c r="B168">
        <v>167</v>
      </c>
      <c r="C168" t="s">
        <v>242</v>
      </c>
      <c r="D168">
        <v>20</v>
      </c>
      <c r="E168">
        <v>37</v>
      </c>
      <c r="F168">
        <v>46</v>
      </c>
      <c r="G168">
        <v>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3</v>
      </c>
      <c r="U168">
        <v>1</v>
      </c>
      <c r="V168">
        <v>2</v>
      </c>
      <c r="W168">
        <v>3</v>
      </c>
      <c r="X168">
        <v>2</v>
      </c>
      <c r="Z168">
        <v>0</v>
      </c>
      <c r="AA168">
        <v>0</v>
      </c>
    </row>
    <row r="169" spans="1:27" x14ac:dyDescent="0.4">
      <c r="A169">
        <v>168</v>
      </c>
      <c r="B169">
        <v>168</v>
      </c>
      <c r="C169" t="s">
        <v>244</v>
      </c>
      <c r="D169">
        <v>21</v>
      </c>
      <c r="E169">
        <v>38</v>
      </c>
      <c r="F169">
        <v>47</v>
      </c>
      <c r="G169">
        <v>37</v>
      </c>
      <c r="H169">
        <v>4</v>
      </c>
      <c r="I169">
        <v>0</v>
      </c>
      <c r="J169">
        <v>8</v>
      </c>
      <c r="K169">
        <v>1</v>
      </c>
      <c r="L169">
        <v>0</v>
      </c>
      <c r="M169">
        <v>2</v>
      </c>
      <c r="N169">
        <v>0</v>
      </c>
      <c r="O169">
        <v>2</v>
      </c>
      <c r="P169">
        <v>0</v>
      </c>
      <c r="Q169">
        <v>0</v>
      </c>
      <c r="R169">
        <v>10</v>
      </c>
      <c r="S169">
        <v>0</v>
      </c>
      <c r="T169">
        <v>1</v>
      </c>
      <c r="U169">
        <v>7</v>
      </c>
      <c r="V169">
        <v>4</v>
      </c>
      <c r="W169">
        <v>0</v>
      </c>
      <c r="X169">
        <v>12</v>
      </c>
      <c r="Z169">
        <v>8</v>
      </c>
      <c r="AA169">
        <v>10</v>
      </c>
    </row>
    <row r="170" spans="1:27" x14ac:dyDescent="0.4">
      <c r="A170">
        <v>169</v>
      </c>
      <c r="B170">
        <v>169</v>
      </c>
      <c r="C170" t="s">
        <v>245</v>
      </c>
      <c r="D170">
        <v>21</v>
      </c>
      <c r="E170">
        <v>38</v>
      </c>
      <c r="F170">
        <v>47</v>
      </c>
      <c r="G170">
        <v>37</v>
      </c>
      <c r="H170">
        <v>4</v>
      </c>
      <c r="I170">
        <v>0</v>
      </c>
      <c r="J170">
        <v>10</v>
      </c>
      <c r="K170">
        <v>2</v>
      </c>
      <c r="L170">
        <v>0</v>
      </c>
      <c r="M170">
        <v>2</v>
      </c>
      <c r="N170">
        <v>0</v>
      </c>
      <c r="O170">
        <v>3</v>
      </c>
      <c r="P170">
        <v>0</v>
      </c>
      <c r="Q170">
        <v>0</v>
      </c>
      <c r="R170">
        <v>12</v>
      </c>
      <c r="S170">
        <v>0</v>
      </c>
      <c r="T170">
        <v>2</v>
      </c>
      <c r="U170">
        <v>8</v>
      </c>
      <c r="V170">
        <v>5</v>
      </c>
      <c r="W170">
        <v>0</v>
      </c>
      <c r="X170">
        <v>13</v>
      </c>
      <c r="Z170">
        <v>9</v>
      </c>
      <c r="AA170">
        <v>12</v>
      </c>
    </row>
    <row r="171" spans="1:27" x14ac:dyDescent="0.4">
      <c r="A171">
        <v>170</v>
      </c>
      <c r="B171">
        <v>170</v>
      </c>
      <c r="C171" t="s">
        <v>246</v>
      </c>
      <c r="D171">
        <v>21</v>
      </c>
      <c r="E171">
        <v>38</v>
      </c>
      <c r="F171">
        <v>47</v>
      </c>
      <c r="G171">
        <v>37</v>
      </c>
      <c r="H171">
        <v>4</v>
      </c>
      <c r="I171">
        <v>0</v>
      </c>
      <c r="J171">
        <v>12</v>
      </c>
      <c r="K171">
        <v>3</v>
      </c>
      <c r="L171">
        <v>0</v>
      </c>
      <c r="M171">
        <v>2</v>
      </c>
      <c r="N171">
        <v>0</v>
      </c>
      <c r="O171">
        <v>4</v>
      </c>
      <c r="P171">
        <v>0</v>
      </c>
      <c r="Q171">
        <v>1</v>
      </c>
      <c r="R171">
        <v>13</v>
      </c>
      <c r="S171">
        <v>0</v>
      </c>
      <c r="T171">
        <v>4</v>
      </c>
      <c r="U171">
        <v>8</v>
      </c>
      <c r="V171">
        <v>5</v>
      </c>
      <c r="W171">
        <v>0</v>
      </c>
      <c r="X171">
        <v>14</v>
      </c>
      <c r="Z171">
        <v>9</v>
      </c>
      <c r="AA171">
        <v>12</v>
      </c>
    </row>
    <row r="172" spans="1:27" x14ac:dyDescent="0.4">
      <c r="A172">
        <v>171</v>
      </c>
      <c r="B172">
        <v>171</v>
      </c>
      <c r="C172" t="s">
        <v>247</v>
      </c>
      <c r="D172">
        <v>5</v>
      </c>
      <c r="E172">
        <v>7</v>
      </c>
      <c r="F172">
        <v>10</v>
      </c>
      <c r="G172">
        <v>10</v>
      </c>
      <c r="H172">
        <v>2</v>
      </c>
      <c r="I172">
        <v>0</v>
      </c>
      <c r="J172">
        <v>0</v>
      </c>
      <c r="K172">
        <v>1</v>
      </c>
      <c r="L172">
        <v>0</v>
      </c>
      <c r="M172">
        <v>1</v>
      </c>
      <c r="N172">
        <v>1</v>
      </c>
      <c r="O172">
        <v>6</v>
      </c>
      <c r="P172">
        <v>0</v>
      </c>
      <c r="Q172">
        <v>2</v>
      </c>
      <c r="R172">
        <v>1</v>
      </c>
      <c r="S172">
        <v>0</v>
      </c>
      <c r="T172">
        <v>3</v>
      </c>
      <c r="U172">
        <v>2</v>
      </c>
      <c r="V172">
        <v>1</v>
      </c>
      <c r="W172">
        <v>0</v>
      </c>
      <c r="X172">
        <v>2</v>
      </c>
      <c r="Z172">
        <v>3</v>
      </c>
      <c r="AA172">
        <v>6</v>
      </c>
    </row>
    <row r="173" spans="1:27" x14ac:dyDescent="0.4">
      <c r="A173">
        <v>172</v>
      </c>
      <c r="B173">
        <v>172</v>
      </c>
      <c r="C173" t="s">
        <v>248</v>
      </c>
      <c r="D173">
        <v>1</v>
      </c>
      <c r="E173">
        <v>2</v>
      </c>
      <c r="F173">
        <v>4</v>
      </c>
      <c r="G173">
        <v>16</v>
      </c>
      <c r="H173">
        <v>0</v>
      </c>
      <c r="I173">
        <v>4</v>
      </c>
      <c r="J173">
        <v>0</v>
      </c>
      <c r="K173">
        <v>9</v>
      </c>
      <c r="L173">
        <v>1</v>
      </c>
      <c r="M173">
        <v>0</v>
      </c>
      <c r="N173">
        <v>1</v>
      </c>
      <c r="O173">
        <v>0</v>
      </c>
      <c r="P173">
        <v>0</v>
      </c>
      <c r="Q173">
        <v>2</v>
      </c>
      <c r="R173">
        <v>0</v>
      </c>
      <c r="S173">
        <v>1</v>
      </c>
      <c r="T173">
        <v>4</v>
      </c>
      <c r="U173">
        <v>0</v>
      </c>
      <c r="V173">
        <v>3</v>
      </c>
      <c r="W173">
        <v>4</v>
      </c>
      <c r="X173">
        <v>2</v>
      </c>
      <c r="Z173">
        <v>0</v>
      </c>
      <c r="AA173">
        <v>0</v>
      </c>
    </row>
    <row r="174" spans="1:27" x14ac:dyDescent="0.4">
      <c r="A174">
        <v>173</v>
      </c>
      <c r="B174">
        <v>173</v>
      </c>
      <c r="C174" t="s">
        <v>249</v>
      </c>
      <c r="D174">
        <v>4</v>
      </c>
      <c r="E174">
        <v>6</v>
      </c>
      <c r="F174">
        <v>21</v>
      </c>
      <c r="G174">
        <v>15</v>
      </c>
      <c r="H174">
        <v>0</v>
      </c>
      <c r="I174">
        <v>1</v>
      </c>
      <c r="J174">
        <v>0</v>
      </c>
      <c r="K174">
        <v>11</v>
      </c>
      <c r="L174">
        <v>1</v>
      </c>
      <c r="M174">
        <v>0</v>
      </c>
      <c r="N174">
        <v>2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4</v>
      </c>
      <c r="U174">
        <v>0</v>
      </c>
      <c r="V174">
        <v>6</v>
      </c>
      <c r="W174">
        <v>1</v>
      </c>
      <c r="X174">
        <v>3</v>
      </c>
      <c r="Z174">
        <v>0</v>
      </c>
      <c r="AA174">
        <v>0</v>
      </c>
    </row>
    <row r="175" spans="1:27" x14ac:dyDescent="0.4">
      <c r="A175">
        <v>174</v>
      </c>
      <c r="B175">
        <v>174</v>
      </c>
      <c r="C175" t="s">
        <v>250</v>
      </c>
      <c r="D175">
        <v>2</v>
      </c>
      <c r="E175">
        <v>3</v>
      </c>
      <c r="F175">
        <v>5</v>
      </c>
      <c r="G175">
        <v>5</v>
      </c>
      <c r="H175">
        <v>0</v>
      </c>
      <c r="I175">
        <v>0</v>
      </c>
      <c r="J175">
        <v>3</v>
      </c>
      <c r="K175">
        <v>0</v>
      </c>
      <c r="L175">
        <v>0</v>
      </c>
      <c r="M175">
        <v>0</v>
      </c>
      <c r="N175">
        <v>2</v>
      </c>
      <c r="O175">
        <v>0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0</v>
      </c>
      <c r="Z175">
        <v>0</v>
      </c>
      <c r="AA175">
        <v>0</v>
      </c>
    </row>
    <row r="176" spans="1:27" x14ac:dyDescent="0.4">
      <c r="A176">
        <v>175</v>
      </c>
      <c r="B176">
        <v>175</v>
      </c>
      <c r="C176" t="s">
        <v>252</v>
      </c>
      <c r="D176">
        <v>22</v>
      </c>
      <c r="E176">
        <v>39</v>
      </c>
      <c r="F176">
        <v>48</v>
      </c>
      <c r="G176">
        <v>38</v>
      </c>
      <c r="H176">
        <v>18</v>
      </c>
      <c r="I176">
        <v>0</v>
      </c>
      <c r="J176">
        <v>0</v>
      </c>
      <c r="K176">
        <v>6</v>
      </c>
      <c r="L176">
        <v>0</v>
      </c>
      <c r="M176">
        <v>0</v>
      </c>
      <c r="N176">
        <v>2</v>
      </c>
      <c r="O176">
        <v>0</v>
      </c>
      <c r="P176">
        <v>0</v>
      </c>
      <c r="Q176">
        <v>5</v>
      </c>
      <c r="R176">
        <v>0</v>
      </c>
      <c r="S176">
        <v>0</v>
      </c>
      <c r="T176">
        <v>4</v>
      </c>
      <c r="U176">
        <v>3</v>
      </c>
      <c r="V176">
        <v>2</v>
      </c>
      <c r="W176">
        <v>0</v>
      </c>
      <c r="X176">
        <v>7</v>
      </c>
      <c r="Z176">
        <v>2</v>
      </c>
      <c r="AA176">
        <v>6</v>
      </c>
    </row>
    <row r="177" spans="1:27" x14ac:dyDescent="0.4">
      <c r="A177">
        <v>176</v>
      </c>
      <c r="B177">
        <v>176</v>
      </c>
      <c r="C177" t="s">
        <v>253</v>
      </c>
      <c r="D177">
        <v>22</v>
      </c>
      <c r="E177">
        <v>39</v>
      </c>
      <c r="F177">
        <v>48</v>
      </c>
      <c r="G177">
        <v>44</v>
      </c>
      <c r="H177">
        <v>18</v>
      </c>
      <c r="I177">
        <v>0</v>
      </c>
      <c r="J177">
        <v>0</v>
      </c>
      <c r="K177">
        <v>8</v>
      </c>
      <c r="L177">
        <v>0</v>
      </c>
      <c r="M177">
        <v>0</v>
      </c>
      <c r="N177">
        <v>3</v>
      </c>
      <c r="O177">
        <v>0</v>
      </c>
      <c r="P177">
        <v>0</v>
      </c>
      <c r="Q177">
        <v>1</v>
      </c>
      <c r="R177">
        <v>0</v>
      </c>
      <c r="S177">
        <v>0</v>
      </c>
      <c r="T177">
        <v>3</v>
      </c>
      <c r="U177">
        <v>1</v>
      </c>
      <c r="V177">
        <v>2</v>
      </c>
      <c r="W177">
        <v>0</v>
      </c>
      <c r="X177">
        <v>6</v>
      </c>
      <c r="Z177">
        <v>3</v>
      </c>
      <c r="AA177">
        <v>7</v>
      </c>
    </row>
    <row r="178" spans="1:27" x14ac:dyDescent="0.4">
      <c r="A178">
        <v>177</v>
      </c>
      <c r="B178">
        <v>177</v>
      </c>
      <c r="C178" t="s">
        <v>254</v>
      </c>
      <c r="D178">
        <v>22</v>
      </c>
      <c r="E178">
        <v>39</v>
      </c>
      <c r="F178">
        <v>48</v>
      </c>
      <c r="G178">
        <v>44</v>
      </c>
      <c r="H178">
        <v>18</v>
      </c>
      <c r="I178">
        <v>0</v>
      </c>
      <c r="J178">
        <v>0</v>
      </c>
      <c r="K178">
        <v>9</v>
      </c>
      <c r="L178">
        <v>0</v>
      </c>
      <c r="M178">
        <v>0</v>
      </c>
      <c r="N178">
        <v>4</v>
      </c>
      <c r="O178">
        <v>0</v>
      </c>
      <c r="P178">
        <v>0</v>
      </c>
      <c r="Q178">
        <v>3</v>
      </c>
      <c r="R178">
        <v>0</v>
      </c>
      <c r="S178">
        <v>0</v>
      </c>
      <c r="T178">
        <v>5</v>
      </c>
      <c r="U178">
        <v>1</v>
      </c>
      <c r="V178">
        <v>2</v>
      </c>
      <c r="W178">
        <v>0</v>
      </c>
      <c r="X178">
        <v>6</v>
      </c>
      <c r="Z178">
        <v>4</v>
      </c>
      <c r="AA178">
        <v>7</v>
      </c>
    </row>
    <row r="179" spans="1:27" x14ac:dyDescent="0.4">
      <c r="A179">
        <v>178</v>
      </c>
      <c r="B179">
        <v>178</v>
      </c>
      <c r="C179" t="s">
        <v>255</v>
      </c>
      <c r="D179">
        <v>17</v>
      </c>
      <c r="E179">
        <v>33</v>
      </c>
      <c r="F179">
        <v>41</v>
      </c>
      <c r="G179">
        <v>33</v>
      </c>
      <c r="H179">
        <v>19</v>
      </c>
      <c r="I179">
        <v>0</v>
      </c>
      <c r="J179">
        <v>0</v>
      </c>
      <c r="K179">
        <v>0</v>
      </c>
      <c r="L179">
        <v>0</v>
      </c>
      <c r="M179">
        <v>2</v>
      </c>
      <c r="N179">
        <v>0</v>
      </c>
      <c r="O179">
        <v>9</v>
      </c>
      <c r="P179">
        <v>0</v>
      </c>
      <c r="Q179">
        <v>2</v>
      </c>
      <c r="R179">
        <v>0</v>
      </c>
      <c r="S179">
        <v>0</v>
      </c>
      <c r="T179">
        <v>4</v>
      </c>
      <c r="U179">
        <v>8</v>
      </c>
      <c r="V179">
        <v>2</v>
      </c>
      <c r="W179">
        <v>0</v>
      </c>
      <c r="X179">
        <v>18</v>
      </c>
      <c r="Z179">
        <v>10</v>
      </c>
      <c r="AA179">
        <v>13</v>
      </c>
    </row>
    <row r="180" spans="1:27" x14ac:dyDescent="0.4">
      <c r="A180">
        <v>179</v>
      </c>
      <c r="B180">
        <v>179</v>
      </c>
      <c r="C180" t="s">
        <v>256</v>
      </c>
      <c r="D180">
        <v>2</v>
      </c>
      <c r="E180">
        <v>3</v>
      </c>
      <c r="F180">
        <v>5</v>
      </c>
      <c r="G180">
        <v>5</v>
      </c>
      <c r="H180">
        <v>0</v>
      </c>
      <c r="I180">
        <v>0</v>
      </c>
      <c r="J180">
        <v>14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2</v>
      </c>
      <c r="R180">
        <v>0</v>
      </c>
      <c r="S180">
        <v>1</v>
      </c>
      <c r="T180">
        <v>4</v>
      </c>
      <c r="U180">
        <v>2</v>
      </c>
      <c r="V180">
        <v>4</v>
      </c>
      <c r="W180">
        <v>2</v>
      </c>
      <c r="X180">
        <v>0</v>
      </c>
      <c r="Z180">
        <v>0</v>
      </c>
      <c r="AA180">
        <v>0</v>
      </c>
    </row>
    <row r="181" spans="1:27" x14ac:dyDescent="0.4">
      <c r="A181">
        <v>180</v>
      </c>
      <c r="B181">
        <v>180</v>
      </c>
      <c r="C181" t="s">
        <v>257</v>
      </c>
      <c r="D181">
        <v>21</v>
      </c>
      <c r="E181">
        <v>38</v>
      </c>
      <c r="F181">
        <v>47</v>
      </c>
      <c r="G181">
        <v>37</v>
      </c>
      <c r="H181">
        <v>4</v>
      </c>
      <c r="I181">
        <v>0</v>
      </c>
      <c r="J181">
        <v>11</v>
      </c>
      <c r="K181">
        <v>3</v>
      </c>
      <c r="L181">
        <v>0</v>
      </c>
      <c r="M181">
        <v>2</v>
      </c>
      <c r="N181">
        <v>0</v>
      </c>
      <c r="O181">
        <v>4</v>
      </c>
      <c r="P181">
        <v>0</v>
      </c>
      <c r="Q181">
        <v>0</v>
      </c>
      <c r="R181">
        <v>12</v>
      </c>
      <c r="S181">
        <v>0</v>
      </c>
      <c r="T181">
        <v>3</v>
      </c>
      <c r="U181">
        <v>8</v>
      </c>
      <c r="V181">
        <v>5</v>
      </c>
      <c r="W181">
        <v>0</v>
      </c>
      <c r="X181">
        <v>14</v>
      </c>
      <c r="Z181">
        <v>10</v>
      </c>
      <c r="AA181">
        <v>12</v>
      </c>
    </row>
    <row r="182" spans="1:27" x14ac:dyDescent="0.4">
      <c r="A182">
        <v>181</v>
      </c>
      <c r="B182">
        <v>181</v>
      </c>
      <c r="C182" t="s">
        <v>258</v>
      </c>
      <c r="D182">
        <v>3</v>
      </c>
      <c r="E182">
        <v>5</v>
      </c>
      <c r="F182">
        <v>6</v>
      </c>
      <c r="G182">
        <v>6</v>
      </c>
      <c r="H182">
        <v>11</v>
      </c>
      <c r="I182">
        <v>0</v>
      </c>
      <c r="J182">
        <v>0</v>
      </c>
      <c r="K182">
        <v>5</v>
      </c>
      <c r="L182">
        <v>0</v>
      </c>
      <c r="M182">
        <v>0</v>
      </c>
      <c r="N182">
        <v>2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2</v>
      </c>
      <c r="U182">
        <v>1</v>
      </c>
      <c r="V182">
        <v>2</v>
      </c>
      <c r="W182">
        <v>0</v>
      </c>
      <c r="X182">
        <v>2</v>
      </c>
      <c r="Z182">
        <v>5</v>
      </c>
      <c r="AA182">
        <v>4</v>
      </c>
    </row>
    <row r="183" spans="1:27" x14ac:dyDescent="0.4">
      <c r="A183">
        <v>182</v>
      </c>
      <c r="B183">
        <v>182</v>
      </c>
      <c r="C183" t="s">
        <v>259</v>
      </c>
      <c r="D183">
        <v>3</v>
      </c>
      <c r="E183">
        <v>5</v>
      </c>
      <c r="F183">
        <v>6</v>
      </c>
      <c r="G183">
        <v>6</v>
      </c>
      <c r="H183">
        <v>11</v>
      </c>
      <c r="I183">
        <v>0</v>
      </c>
      <c r="J183">
        <v>0</v>
      </c>
      <c r="K183">
        <v>8</v>
      </c>
      <c r="L183">
        <v>0</v>
      </c>
      <c r="M183">
        <v>0</v>
      </c>
      <c r="N183">
        <v>4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3</v>
      </c>
      <c r="U183">
        <v>1</v>
      </c>
      <c r="V183">
        <v>2</v>
      </c>
      <c r="W183">
        <v>0</v>
      </c>
      <c r="X183">
        <v>2</v>
      </c>
      <c r="Z183">
        <v>5</v>
      </c>
      <c r="AA183">
        <v>4</v>
      </c>
    </row>
    <row r="184" spans="1:27" x14ac:dyDescent="0.4">
      <c r="A184">
        <v>183</v>
      </c>
      <c r="B184">
        <v>183</v>
      </c>
      <c r="C184" t="s">
        <v>260</v>
      </c>
      <c r="D184">
        <v>1</v>
      </c>
      <c r="E184">
        <v>1</v>
      </c>
      <c r="F184">
        <v>3</v>
      </c>
      <c r="G184">
        <v>3</v>
      </c>
      <c r="H184">
        <v>0</v>
      </c>
      <c r="I184">
        <v>24</v>
      </c>
      <c r="J184">
        <v>0</v>
      </c>
      <c r="K184">
        <v>3</v>
      </c>
      <c r="L184">
        <v>1</v>
      </c>
      <c r="M184">
        <v>0</v>
      </c>
      <c r="N184">
        <v>1</v>
      </c>
      <c r="O184">
        <v>0</v>
      </c>
      <c r="P184">
        <v>0</v>
      </c>
      <c r="Q184">
        <v>7</v>
      </c>
      <c r="R184">
        <v>0</v>
      </c>
      <c r="S184">
        <v>3</v>
      </c>
      <c r="T184">
        <v>6</v>
      </c>
      <c r="U184">
        <v>0</v>
      </c>
      <c r="V184">
        <v>20</v>
      </c>
      <c r="W184">
        <v>22</v>
      </c>
      <c r="X184">
        <v>18</v>
      </c>
      <c r="Z184">
        <v>0</v>
      </c>
      <c r="AA184">
        <v>0</v>
      </c>
    </row>
    <row r="185" spans="1:27" x14ac:dyDescent="0.4">
      <c r="A185">
        <v>184</v>
      </c>
      <c r="B185">
        <v>184</v>
      </c>
      <c r="C185" t="s">
        <v>262</v>
      </c>
      <c r="D185">
        <v>3</v>
      </c>
      <c r="E185">
        <v>5</v>
      </c>
      <c r="F185">
        <v>6</v>
      </c>
      <c r="G185">
        <v>6</v>
      </c>
      <c r="H185">
        <v>14</v>
      </c>
      <c r="I185">
        <v>3</v>
      </c>
      <c r="J185">
        <v>0</v>
      </c>
      <c r="K185">
        <v>6</v>
      </c>
      <c r="L185">
        <v>0</v>
      </c>
      <c r="M185">
        <v>0</v>
      </c>
      <c r="N185">
        <v>2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3</v>
      </c>
      <c r="U185">
        <v>1</v>
      </c>
      <c r="V185">
        <v>2</v>
      </c>
      <c r="W185">
        <v>0</v>
      </c>
      <c r="X185">
        <v>6</v>
      </c>
      <c r="Z185">
        <v>4</v>
      </c>
      <c r="AA185">
        <v>6</v>
      </c>
    </row>
    <row r="186" spans="1:27" x14ac:dyDescent="0.4">
      <c r="A186">
        <v>185</v>
      </c>
      <c r="B186">
        <v>185</v>
      </c>
      <c r="C186" t="s">
        <v>263</v>
      </c>
      <c r="D186">
        <v>22</v>
      </c>
      <c r="E186">
        <v>39</v>
      </c>
      <c r="F186">
        <v>48</v>
      </c>
      <c r="G186">
        <v>44</v>
      </c>
      <c r="H186">
        <v>18</v>
      </c>
      <c r="I186">
        <v>0</v>
      </c>
      <c r="J186">
        <v>0</v>
      </c>
      <c r="K186">
        <v>9</v>
      </c>
      <c r="L186">
        <v>0</v>
      </c>
      <c r="M186">
        <v>0</v>
      </c>
      <c r="N186">
        <v>3</v>
      </c>
      <c r="O186">
        <v>0</v>
      </c>
      <c r="P186">
        <v>0</v>
      </c>
      <c r="Q186">
        <v>2</v>
      </c>
      <c r="R186">
        <v>0</v>
      </c>
      <c r="S186">
        <v>0</v>
      </c>
      <c r="T186">
        <v>4</v>
      </c>
      <c r="U186">
        <v>1</v>
      </c>
      <c r="V186">
        <v>2</v>
      </c>
      <c r="W186">
        <v>0</v>
      </c>
      <c r="X186">
        <v>6</v>
      </c>
      <c r="Z186">
        <v>4</v>
      </c>
      <c r="AA186">
        <v>7</v>
      </c>
    </row>
    <row r="187" spans="1:27" x14ac:dyDescent="0.4">
      <c r="A187">
        <v>186</v>
      </c>
      <c r="B187">
        <v>186</v>
      </c>
      <c r="C187" t="s">
        <v>264</v>
      </c>
      <c r="D187">
        <v>21</v>
      </c>
      <c r="E187">
        <v>38</v>
      </c>
      <c r="F187">
        <v>47</v>
      </c>
      <c r="G187">
        <v>37</v>
      </c>
      <c r="H187">
        <v>4</v>
      </c>
      <c r="I187">
        <v>0</v>
      </c>
      <c r="J187">
        <v>11</v>
      </c>
      <c r="K187">
        <v>4</v>
      </c>
      <c r="L187">
        <v>0</v>
      </c>
      <c r="M187">
        <v>2</v>
      </c>
      <c r="N187">
        <v>0</v>
      </c>
      <c r="O187">
        <v>4</v>
      </c>
      <c r="P187">
        <v>0</v>
      </c>
      <c r="Q187">
        <v>1</v>
      </c>
      <c r="R187">
        <v>12</v>
      </c>
      <c r="S187">
        <v>0</v>
      </c>
      <c r="T187">
        <v>4</v>
      </c>
      <c r="U187">
        <v>8</v>
      </c>
      <c r="V187">
        <v>6</v>
      </c>
      <c r="W187">
        <v>0</v>
      </c>
      <c r="X187">
        <v>15</v>
      </c>
      <c r="Z187">
        <v>8</v>
      </c>
      <c r="AA187">
        <v>12</v>
      </c>
    </row>
    <row r="188" spans="1:27" x14ac:dyDescent="0.4">
      <c r="A188">
        <v>187</v>
      </c>
      <c r="B188">
        <v>187</v>
      </c>
      <c r="C188" t="s">
        <v>265</v>
      </c>
      <c r="D188">
        <v>21</v>
      </c>
      <c r="E188">
        <v>38</v>
      </c>
      <c r="F188">
        <v>47</v>
      </c>
      <c r="G188">
        <v>37</v>
      </c>
      <c r="H188">
        <v>4</v>
      </c>
      <c r="I188">
        <v>0</v>
      </c>
      <c r="J188">
        <v>14</v>
      </c>
      <c r="K188">
        <v>3</v>
      </c>
      <c r="L188">
        <v>0</v>
      </c>
      <c r="M188">
        <v>3</v>
      </c>
      <c r="N188">
        <v>0</v>
      </c>
      <c r="O188">
        <v>3</v>
      </c>
      <c r="P188">
        <v>0</v>
      </c>
      <c r="Q188">
        <v>1</v>
      </c>
      <c r="R188">
        <v>14</v>
      </c>
      <c r="S188">
        <v>0</v>
      </c>
      <c r="T188">
        <v>4</v>
      </c>
      <c r="U188">
        <v>9</v>
      </c>
      <c r="V188">
        <v>6</v>
      </c>
      <c r="W188">
        <v>0</v>
      </c>
      <c r="X188">
        <v>17</v>
      </c>
      <c r="Z188">
        <v>9</v>
      </c>
      <c r="AA188">
        <v>13</v>
      </c>
    </row>
    <row r="189" spans="1:27" x14ac:dyDescent="0.4">
      <c r="A189">
        <v>188</v>
      </c>
      <c r="B189">
        <v>188</v>
      </c>
      <c r="C189" t="s">
        <v>266</v>
      </c>
      <c r="D189">
        <v>3</v>
      </c>
      <c r="E189">
        <v>5</v>
      </c>
      <c r="F189">
        <v>8</v>
      </c>
      <c r="G189">
        <v>8</v>
      </c>
      <c r="H189">
        <v>14</v>
      </c>
      <c r="I189">
        <v>3</v>
      </c>
      <c r="J189">
        <v>4</v>
      </c>
      <c r="K189">
        <v>4</v>
      </c>
      <c r="L189">
        <v>0</v>
      </c>
      <c r="M189">
        <v>0</v>
      </c>
      <c r="N189">
        <v>2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4</v>
      </c>
      <c r="U189">
        <v>1</v>
      </c>
      <c r="V189">
        <v>3</v>
      </c>
      <c r="W189">
        <v>0</v>
      </c>
      <c r="X189">
        <v>6</v>
      </c>
      <c r="Z189">
        <v>3</v>
      </c>
      <c r="AA189">
        <v>6</v>
      </c>
    </row>
    <row r="190" spans="1:27" x14ac:dyDescent="0.4">
      <c r="A190">
        <v>189</v>
      </c>
      <c r="B190">
        <v>189</v>
      </c>
      <c r="C190" t="s">
        <v>267</v>
      </c>
      <c r="D190">
        <v>3</v>
      </c>
      <c r="E190">
        <v>5</v>
      </c>
      <c r="F190">
        <v>6</v>
      </c>
      <c r="G190">
        <v>6</v>
      </c>
      <c r="H190">
        <v>14</v>
      </c>
      <c r="I190">
        <v>1</v>
      </c>
      <c r="J190">
        <v>0</v>
      </c>
      <c r="K190">
        <v>11</v>
      </c>
      <c r="L190">
        <v>0</v>
      </c>
      <c r="M190">
        <v>0</v>
      </c>
      <c r="N190">
        <v>3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5</v>
      </c>
      <c r="U190">
        <v>2</v>
      </c>
      <c r="V190">
        <v>3</v>
      </c>
      <c r="W190">
        <v>0</v>
      </c>
      <c r="X190">
        <v>10</v>
      </c>
      <c r="Z190">
        <v>3</v>
      </c>
      <c r="AA190">
        <v>6</v>
      </c>
    </row>
    <row r="191" spans="1:27" x14ac:dyDescent="0.4">
      <c r="A191">
        <v>190</v>
      </c>
      <c r="B191">
        <v>190</v>
      </c>
      <c r="C191" t="s">
        <v>268</v>
      </c>
      <c r="D191">
        <v>1</v>
      </c>
      <c r="E191">
        <v>1</v>
      </c>
      <c r="F191">
        <v>3</v>
      </c>
      <c r="G191">
        <v>3</v>
      </c>
      <c r="H191">
        <v>0</v>
      </c>
      <c r="I191">
        <v>18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3</v>
      </c>
      <c r="T191">
        <v>3</v>
      </c>
      <c r="U191">
        <v>0</v>
      </c>
      <c r="V191">
        <v>11</v>
      </c>
      <c r="W191">
        <v>18</v>
      </c>
      <c r="X191">
        <v>0</v>
      </c>
      <c r="Z191">
        <v>0</v>
      </c>
      <c r="AA191">
        <v>0</v>
      </c>
    </row>
    <row r="192" spans="1:27" x14ac:dyDescent="0.4">
      <c r="A192">
        <v>191</v>
      </c>
      <c r="B192">
        <v>191</v>
      </c>
      <c r="C192" t="s">
        <v>269</v>
      </c>
      <c r="D192">
        <v>4</v>
      </c>
      <c r="E192">
        <v>6</v>
      </c>
      <c r="F192">
        <v>21</v>
      </c>
      <c r="G192">
        <v>15</v>
      </c>
      <c r="H192">
        <v>0</v>
      </c>
      <c r="I192">
        <v>1</v>
      </c>
      <c r="J192">
        <v>0</v>
      </c>
      <c r="K192">
        <v>10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3</v>
      </c>
      <c r="U192">
        <v>0</v>
      </c>
      <c r="V192">
        <v>6</v>
      </c>
      <c r="W192">
        <v>1</v>
      </c>
      <c r="X192">
        <v>2</v>
      </c>
      <c r="Z192">
        <v>0</v>
      </c>
      <c r="AA192">
        <v>0</v>
      </c>
    </row>
    <row r="193" spans="1:27" x14ac:dyDescent="0.4">
      <c r="A193">
        <v>192</v>
      </c>
      <c r="B193">
        <v>192</v>
      </c>
      <c r="C193" t="s">
        <v>270</v>
      </c>
      <c r="D193">
        <v>1</v>
      </c>
      <c r="E193">
        <v>1</v>
      </c>
      <c r="F193">
        <v>3</v>
      </c>
      <c r="G193">
        <v>3</v>
      </c>
      <c r="H193">
        <v>0</v>
      </c>
      <c r="I193">
        <v>19</v>
      </c>
      <c r="J193">
        <v>0</v>
      </c>
      <c r="K193">
        <v>3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2</v>
      </c>
      <c r="R193">
        <v>0</v>
      </c>
      <c r="S193">
        <v>3</v>
      </c>
      <c r="T193">
        <v>4</v>
      </c>
      <c r="U193">
        <v>0</v>
      </c>
      <c r="V193">
        <v>12</v>
      </c>
      <c r="W193">
        <v>19</v>
      </c>
      <c r="X193">
        <v>2</v>
      </c>
      <c r="Z193">
        <v>0</v>
      </c>
      <c r="AA193">
        <v>0</v>
      </c>
    </row>
    <row r="194" spans="1:27" x14ac:dyDescent="0.4">
      <c r="A194">
        <v>193</v>
      </c>
      <c r="B194">
        <v>193</v>
      </c>
      <c r="C194" t="s">
        <v>271</v>
      </c>
      <c r="D194">
        <v>8</v>
      </c>
      <c r="E194">
        <v>14</v>
      </c>
      <c r="F194">
        <v>24</v>
      </c>
      <c r="G194">
        <v>20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2</v>
      </c>
      <c r="U194">
        <v>2</v>
      </c>
      <c r="V194">
        <v>2</v>
      </c>
      <c r="W194">
        <v>0</v>
      </c>
      <c r="X194">
        <v>1</v>
      </c>
      <c r="Z194">
        <v>0</v>
      </c>
      <c r="AA194">
        <v>0</v>
      </c>
    </row>
    <row r="195" spans="1:27" x14ac:dyDescent="0.4">
      <c r="A195">
        <v>194</v>
      </c>
      <c r="B195">
        <v>194</v>
      </c>
      <c r="C195" t="s">
        <v>272</v>
      </c>
      <c r="D195">
        <v>5</v>
      </c>
      <c r="E195">
        <v>43</v>
      </c>
      <c r="F195">
        <v>11</v>
      </c>
      <c r="G195">
        <v>10</v>
      </c>
      <c r="H195">
        <v>14</v>
      </c>
      <c r="I195">
        <v>2</v>
      </c>
      <c r="J195">
        <v>4</v>
      </c>
      <c r="K195">
        <v>1</v>
      </c>
      <c r="L195">
        <v>0</v>
      </c>
      <c r="M195">
        <v>2</v>
      </c>
      <c r="N195">
        <v>1</v>
      </c>
      <c r="O195">
        <v>4</v>
      </c>
      <c r="P195">
        <v>0</v>
      </c>
      <c r="Q195">
        <v>0</v>
      </c>
      <c r="R195">
        <v>5</v>
      </c>
      <c r="S195">
        <v>0</v>
      </c>
      <c r="T195">
        <v>3</v>
      </c>
      <c r="U195">
        <v>2</v>
      </c>
      <c r="V195">
        <v>4</v>
      </c>
      <c r="W195">
        <v>0</v>
      </c>
      <c r="X195">
        <v>5</v>
      </c>
      <c r="Z195">
        <v>4</v>
      </c>
      <c r="AA195">
        <v>7</v>
      </c>
    </row>
    <row r="196" spans="1:27" x14ac:dyDescent="0.4">
      <c r="A196">
        <v>195</v>
      </c>
      <c r="B196">
        <v>195</v>
      </c>
      <c r="C196" t="s">
        <v>273</v>
      </c>
      <c r="D196">
        <v>3</v>
      </c>
      <c r="E196">
        <v>5</v>
      </c>
      <c r="F196">
        <v>7</v>
      </c>
      <c r="G196">
        <v>7</v>
      </c>
      <c r="H196">
        <v>21</v>
      </c>
      <c r="I196">
        <v>1</v>
      </c>
      <c r="J196">
        <v>0</v>
      </c>
      <c r="K196">
        <v>2</v>
      </c>
      <c r="L196">
        <v>0</v>
      </c>
      <c r="M196">
        <v>3</v>
      </c>
      <c r="N196">
        <v>2</v>
      </c>
      <c r="O196">
        <v>2</v>
      </c>
      <c r="P196">
        <v>0</v>
      </c>
      <c r="Q196">
        <v>1</v>
      </c>
      <c r="R196">
        <v>6</v>
      </c>
      <c r="S196">
        <v>0</v>
      </c>
      <c r="T196">
        <v>2</v>
      </c>
      <c r="U196">
        <v>1</v>
      </c>
      <c r="V196">
        <v>3</v>
      </c>
      <c r="W196">
        <v>0</v>
      </c>
      <c r="X196">
        <v>2</v>
      </c>
      <c r="Z196">
        <v>4</v>
      </c>
      <c r="AA196">
        <v>5</v>
      </c>
    </row>
    <row r="197" spans="1:27" x14ac:dyDescent="0.4">
      <c r="A197">
        <v>196</v>
      </c>
      <c r="B197">
        <v>196</v>
      </c>
      <c r="C197" t="s">
        <v>274</v>
      </c>
      <c r="D197">
        <v>3</v>
      </c>
      <c r="E197">
        <v>5</v>
      </c>
      <c r="F197">
        <v>8</v>
      </c>
      <c r="G197">
        <v>8</v>
      </c>
      <c r="H197">
        <v>21</v>
      </c>
      <c r="I197">
        <v>1</v>
      </c>
      <c r="J197">
        <v>5</v>
      </c>
      <c r="K197">
        <v>0</v>
      </c>
      <c r="L197">
        <v>0</v>
      </c>
      <c r="M197">
        <v>4</v>
      </c>
      <c r="N197">
        <v>0</v>
      </c>
      <c r="O197">
        <v>2</v>
      </c>
      <c r="P197">
        <v>0</v>
      </c>
      <c r="Q197">
        <v>0</v>
      </c>
      <c r="R197">
        <v>0</v>
      </c>
      <c r="S197">
        <v>0</v>
      </c>
      <c r="T197">
        <v>2</v>
      </c>
      <c r="U197">
        <v>1</v>
      </c>
      <c r="V197">
        <v>4</v>
      </c>
      <c r="W197">
        <v>0</v>
      </c>
      <c r="X197">
        <v>3</v>
      </c>
      <c r="Z197">
        <v>4</v>
      </c>
      <c r="AA197">
        <v>6</v>
      </c>
    </row>
    <row r="198" spans="1:27" x14ac:dyDescent="0.4">
      <c r="A198">
        <v>197</v>
      </c>
      <c r="B198">
        <v>197</v>
      </c>
      <c r="C198" t="s">
        <v>275</v>
      </c>
      <c r="D198">
        <v>3</v>
      </c>
      <c r="E198">
        <v>5</v>
      </c>
      <c r="F198">
        <v>6</v>
      </c>
      <c r="G198">
        <v>6</v>
      </c>
      <c r="H198">
        <v>21</v>
      </c>
      <c r="I198">
        <v>1</v>
      </c>
      <c r="J198">
        <v>0</v>
      </c>
      <c r="K198">
        <v>4</v>
      </c>
      <c r="L198">
        <v>0</v>
      </c>
      <c r="M198">
        <v>0</v>
      </c>
      <c r="N198">
        <v>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2</v>
      </c>
      <c r="U198">
        <v>1</v>
      </c>
      <c r="V198">
        <v>2</v>
      </c>
      <c r="W198">
        <v>0</v>
      </c>
      <c r="X198">
        <v>2</v>
      </c>
      <c r="Z198">
        <v>4</v>
      </c>
      <c r="AA198">
        <v>5</v>
      </c>
    </row>
    <row r="199" spans="1:27" x14ac:dyDescent="0.4">
      <c r="A199">
        <v>198</v>
      </c>
      <c r="B199">
        <v>198</v>
      </c>
      <c r="C199" t="s">
        <v>276</v>
      </c>
      <c r="D199">
        <v>3</v>
      </c>
      <c r="E199">
        <v>5</v>
      </c>
      <c r="F199">
        <v>6</v>
      </c>
      <c r="G199">
        <v>6</v>
      </c>
      <c r="H199">
        <v>21</v>
      </c>
      <c r="I199">
        <v>1</v>
      </c>
      <c r="J199">
        <v>0</v>
      </c>
      <c r="K199">
        <v>5</v>
      </c>
      <c r="L199">
        <v>0</v>
      </c>
      <c r="M199">
        <v>0</v>
      </c>
      <c r="N199">
        <v>2</v>
      </c>
      <c r="O199">
        <v>1</v>
      </c>
      <c r="P199">
        <v>0</v>
      </c>
      <c r="Q199">
        <v>1</v>
      </c>
      <c r="R199">
        <v>0</v>
      </c>
      <c r="S199">
        <v>0</v>
      </c>
      <c r="T199">
        <v>3</v>
      </c>
      <c r="U199">
        <v>1</v>
      </c>
      <c r="V199">
        <v>3</v>
      </c>
      <c r="W199">
        <v>0</v>
      </c>
      <c r="X199">
        <v>2</v>
      </c>
      <c r="Z199">
        <v>4</v>
      </c>
      <c r="AA199">
        <v>6</v>
      </c>
    </row>
    <row r="200" spans="1:27" x14ac:dyDescent="0.4">
      <c r="A200">
        <v>199</v>
      </c>
      <c r="B200">
        <v>199</v>
      </c>
      <c r="C200" t="s">
        <v>278</v>
      </c>
      <c r="D200">
        <v>3</v>
      </c>
      <c r="E200">
        <v>40</v>
      </c>
      <c r="F200">
        <v>57</v>
      </c>
      <c r="G200">
        <v>39</v>
      </c>
      <c r="H200">
        <v>22</v>
      </c>
      <c r="I200">
        <v>0</v>
      </c>
      <c r="J200">
        <v>0</v>
      </c>
      <c r="K200">
        <v>6</v>
      </c>
      <c r="L200">
        <v>0</v>
      </c>
      <c r="M200">
        <v>0</v>
      </c>
      <c r="N200">
        <v>0</v>
      </c>
      <c r="O200">
        <v>3</v>
      </c>
      <c r="P200">
        <v>0</v>
      </c>
      <c r="Q200">
        <v>1</v>
      </c>
      <c r="R200">
        <v>15</v>
      </c>
      <c r="S200">
        <v>3</v>
      </c>
      <c r="T200">
        <v>5</v>
      </c>
      <c r="U200">
        <v>7</v>
      </c>
      <c r="V200">
        <v>5</v>
      </c>
      <c r="W200">
        <v>12</v>
      </c>
      <c r="X200">
        <v>16</v>
      </c>
      <c r="Z200">
        <v>3</v>
      </c>
      <c r="AA200">
        <v>14</v>
      </c>
    </row>
    <row r="201" spans="1:27" x14ac:dyDescent="0.4">
      <c r="A201">
        <v>200</v>
      </c>
      <c r="B201">
        <v>200</v>
      </c>
      <c r="C201" t="s">
        <v>279</v>
      </c>
      <c r="D201">
        <v>3</v>
      </c>
      <c r="E201">
        <v>40</v>
      </c>
      <c r="F201">
        <v>57</v>
      </c>
      <c r="G201">
        <v>40</v>
      </c>
      <c r="H201">
        <v>23</v>
      </c>
      <c r="I201">
        <v>0</v>
      </c>
      <c r="J201">
        <v>0</v>
      </c>
      <c r="K201">
        <v>12</v>
      </c>
      <c r="L201">
        <v>0</v>
      </c>
      <c r="M201">
        <v>0</v>
      </c>
      <c r="N201">
        <v>1</v>
      </c>
      <c r="O201">
        <v>0</v>
      </c>
      <c r="P201">
        <v>0</v>
      </c>
      <c r="Q201">
        <v>0</v>
      </c>
      <c r="R201">
        <v>11</v>
      </c>
      <c r="S201">
        <v>3</v>
      </c>
      <c r="T201">
        <v>5</v>
      </c>
      <c r="U201">
        <v>6</v>
      </c>
      <c r="V201">
        <v>4</v>
      </c>
      <c r="W201">
        <v>10</v>
      </c>
      <c r="X201">
        <v>14</v>
      </c>
      <c r="Z201">
        <v>2</v>
      </c>
      <c r="AA201">
        <v>13</v>
      </c>
    </row>
    <row r="202" spans="1:27" x14ac:dyDescent="0.4">
      <c r="A202">
        <v>201</v>
      </c>
      <c r="B202">
        <v>201</v>
      </c>
      <c r="C202" t="s">
        <v>280</v>
      </c>
      <c r="D202">
        <v>22</v>
      </c>
      <c r="E202">
        <v>39</v>
      </c>
      <c r="F202">
        <v>48</v>
      </c>
      <c r="G202">
        <v>38</v>
      </c>
      <c r="H202">
        <v>12</v>
      </c>
      <c r="I202">
        <v>0</v>
      </c>
      <c r="J202">
        <v>0</v>
      </c>
      <c r="K202">
        <v>8</v>
      </c>
      <c r="L202">
        <v>1</v>
      </c>
      <c r="M202">
        <v>0</v>
      </c>
      <c r="N202">
        <v>1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3</v>
      </c>
      <c r="U202">
        <v>2</v>
      </c>
      <c r="V202">
        <v>2</v>
      </c>
      <c r="W202">
        <v>0</v>
      </c>
      <c r="X202">
        <v>6</v>
      </c>
      <c r="Z202">
        <v>3</v>
      </c>
      <c r="AA202">
        <v>6</v>
      </c>
    </row>
    <row r="203" spans="1:27" x14ac:dyDescent="0.4">
      <c r="A203">
        <v>202</v>
      </c>
      <c r="B203">
        <v>202</v>
      </c>
      <c r="C203" t="s">
        <v>281</v>
      </c>
      <c r="D203">
        <v>22</v>
      </c>
      <c r="E203">
        <v>39</v>
      </c>
      <c r="F203">
        <v>48</v>
      </c>
      <c r="G203">
        <v>38</v>
      </c>
      <c r="H203">
        <v>12</v>
      </c>
      <c r="I203">
        <v>0</v>
      </c>
      <c r="J203">
        <v>0</v>
      </c>
      <c r="K203">
        <v>9</v>
      </c>
      <c r="L203">
        <v>2</v>
      </c>
      <c r="M203">
        <v>0</v>
      </c>
      <c r="N203">
        <v>3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3</v>
      </c>
      <c r="U203">
        <v>2</v>
      </c>
      <c r="V203">
        <v>2</v>
      </c>
      <c r="W203">
        <v>0</v>
      </c>
      <c r="X203">
        <v>7</v>
      </c>
      <c r="Z203">
        <v>4</v>
      </c>
      <c r="AA203">
        <v>6</v>
      </c>
    </row>
    <row r="204" spans="1:27" x14ac:dyDescent="0.4">
      <c r="A204">
        <v>203</v>
      </c>
      <c r="B204">
        <v>203</v>
      </c>
      <c r="C204" t="s">
        <v>282</v>
      </c>
      <c r="D204">
        <v>6</v>
      </c>
      <c r="E204">
        <v>17</v>
      </c>
      <c r="F204">
        <v>27</v>
      </c>
      <c r="G204">
        <v>23</v>
      </c>
      <c r="H204">
        <v>0</v>
      </c>
      <c r="I204">
        <v>0</v>
      </c>
      <c r="J204">
        <v>0</v>
      </c>
      <c r="K204">
        <v>0</v>
      </c>
      <c r="L204">
        <v>8</v>
      </c>
      <c r="M204">
        <v>0</v>
      </c>
      <c r="N204">
        <v>-1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3</v>
      </c>
      <c r="U204">
        <v>0</v>
      </c>
      <c r="V204">
        <v>0</v>
      </c>
      <c r="W204">
        <v>24</v>
      </c>
      <c r="X204">
        <v>2</v>
      </c>
      <c r="Z204">
        <v>0</v>
      </c>
      <c r="AA204">
        <v>0</v>
      </c>
    </row>
    <row r="205" spans="1:27" x14ac:dyDescent="0.4">
      <c r="A205">
        <v>204</v>
      </c>
      <c r="B205">
        <v>204</v>
      </c>
      <c r="C205" t="s">
        <v>283</v>
      </c>
      <c r="D205">
        <v>6</v>
      </c>
      <c r="E205">
        <v>17</v>
      </c>
      <c r="F205">
        <v>28</v>
      </c>
      <c r="G205">
        <v>23</v>
      </c>
      <c r="H205">
        <v>0</v>
      </c>
      <c r="I205">
        <v>0</v>
      </c>
      <c r="J205">
        <v>0</v>
      </c>
      <c r="K205">
        <v>0</v>
      </c>
      <c r="L205">
        <v>10</v>
      </c>
      <c r="M205">
        <v>0</v>
      </c>
      <c r="N205">
        <v>-2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3</v>
      </c>
      <c r="U205">
        <v>0</v>
      </c>
      <c r="V205">
        <v>0</v>
      </c>
      <c r="W205">
        <v>30</v>
      </c>
      <c r="X205">
        <v>3</v>
      </c>
      <c r="Z205">
        <v>0</v>
      </c>
      <c r="AA205">
        <v>0</v>
      </c>
    </row>
    <row r="206" spans="1:27" x14ac:dyDescent="0.4">
      <c r="A206">
        <v>205</v>
      </c>
      <c r="B206">
        <v>205</v>
      </c>
      <c r="C206" t="s">
        <v>284</v>
      </c>
      <c r="D206">
        <v>3</v>
      </c>
      <c r="E206">
        <v>5</v>
      </c>
      <c r="F206">
        <v>6</v>
      </c>
      <c r="G206">
        <v>6</v>
      </c>
      <c r="H206">
        <v>21</v>
      </c>
      <c r="I206">
        <v>1</v>
      </c>
      <c r="J206">
        <v>0</v>
      </c>
      <c r="K206">
        <v>8</v>
      </c>
      <c r="L206">
        <v>0</v>
      </c>
      <c r="M206">
        <v>0</v>
      </c>
      <c r="N206">
        <v>2</v>
      </c>
      <c r="O206">
        <v>1</v>
      </c>
      <c r="P206">
        <v>0</v>
      </c>
      <c r="Q206">
        <v>1</v>
      </c>
      <c r="R206">
        <v>0</v>
      </c>
      <c r="S206">
        <v>0</v>
      </c>
      <c r="T206">
        <v>4</v>
      </c>
      <c r="U206">
        <v>1</v>
      </c>
      <c r="V206">
        <v>2</v>
      </c>
      <c r="W206">
        <v>0</v>
      </c>
      <c r="X206">
        <v>3</v>
      </c>
      <c r="Z206">
        <v>5</v>
      </c>
      <c r="AA206">
        <v>8</v>
      </c>
    </row>
    <row r="207" spans="1:27" x14ac:dyDescent="0.4">
      <c r="A207">
        <v>206</v>
      </c>
      <c r="B207">
        <v>206</v>
      </c>
      <c r="C207" t="s">
        <v>285</v>
      </c>
      <c r="D207">
        <v>3</v>
      </c>
      <c r="E207">
        <v>5</v>
      </c>
      <c r="F207">
        <v>6</v>
      </c>
      <c r="G207">
        <v>6</v>
      </c>
      <c r="H207">
        <v>21</v>
      </c>
      <c r="I207">
        <v>1</v>
      </c>
      <c r="J207">
        <v>0</v>
      </c>
      <c r="K207">
        <v>10</v>
      </c>
      <c r="L207">
        <v>0</v>
      </c>
      <c r="M207">
        <v>0</v>
      </c>
      <c r="N207">
        <v>3</v>
      </c>
      <c r="O207">
        <v>1</v>
      </c>
      <c r="P207">
        <v>0</v>
      </c>
      <c r="Q207">
        <v>1</v>
      </c>
      <c r="R207">
        <v>0</v>
      </c>
      <c r="S207">
        <v>0</v>
      </c>
      <c r="T207">
        <v>5</v>
      </c>
      <c r="U207">
        <v>2</v>
      </c>
      <c r="V207">
        <v>4</v>
      </c>
      <c r="W207">
        <v>0</v>
      </c>
      <c r="X207">
        <v>5</v>
      </c>
      <c r="Z207">
        <v>5</v>
      </c>
      <c r="AA207">
        <v>8</v>
      </c>
    </row>
    <row r="208" spans="1:27" x14ac:dyDescent="0.4">
      <c r="A208">
        <v>207</v>
      </c>
      <c r="B208">
        <v>207</v>
      </c>
      <c r="C208" t="s">
        <v>286</v>
      </c>
      <c r="D208">
        <v>5</v>
      </c>
      <c r="E208">
        <v>43</v>
      </c>
      <c r="F208">
        <v>11</v>
      </c>
      <c r="G208">
        <v>10</v>
      </c>
      <c r="H208">
        <v>24</v>
      </c>
      <c r="I208">
        <v>0</v>
      </c>
      <c r="J208">
        <v>0</v>
      </c>
      <c r="K208">
        <v>1</v>
      </c>
      <c r="L208">
        <v>0</v>
      </c>
      <c r="M208">
        <v>2</v>
      </c>
      <c r="N208">
        <v>0</v>
      </c>
      <c r="O208">
        <v>4</v>
      </c>
      <c r="P208">
        <v>0</v>
      </c>
      <c r="Q208">
        <v>2</v>
      </c>
      <c r="R208">
        <v>7</v>
      </c>
      <c r="S208">
        <v>0</v>
      </c>
      <c r="T208">
        <v>3</v>
      </c>
      <c r="U208">
        <v>2</v>
      </c>
      <c r="V208">
        <v>3</v>
      </c>
      <c r="W208">
        <v>0</v>
      </c>
      <c r="X208">
        <v>5</v>
      </c>
      <c r="Z208">
        <v>5</v>
      </c>
      <c r="AA208">
        <v>6</v>
      </c>
    </row>
    <row r="209" spans="1:27" x14ac:dyDescent="0.4">
      <c r="A209">
        <v>208</v>
      </c>
      <c r="B209">
        <v>208</v>
      </c>
      <c r="C209" t="s">
        <v>287</v>
      </c>
      <c r="D209">
        <v>5</v>
      </c>
      <c r="E209">
        <v>43</v>
      </c>
      <c r="F209">
        <v>11</v>
      </c>
      <c r="G209">
        <v>10</v>
      </c>
      <c r="H209">
        <v>2</v>
      </c>
      <c r="I209">
        <v>0</v>
      </c>
      <c r="J209">
        <v>0</v>
      </c>
      <c r="K209">
        <v>0</v>
      </c>
      <c r="L209">
        <v>0</v>
      </c>
      <c r="M209">
        <v>3</v>
      </c>
      <c r="N209">
        <v>0</v>
      </c>
      <c r="O209">
        <v>6</v>
      </c>
      <c r="P209">
        <v>0</v>
      </c>
      <c r="Q209">
        <v>2</v>
      </c>
      <c r="R209">
        <v>12</v>
      </c>
      <c r="S209">
        <v>0</v>
      </c>
      <c r="T209">
        <v>5</v>
      </c>
      <c r="U209">
        <v>4</v>
      </c>
      <c r="V209">
        <v>5</v>
      </c>
      <c r="W209">
        <v>0</v>
      </c>
      <c r="X209">
        <v>20</v>
      </c>
      <c r="Z209">
        <v>4</v>
      </c>
      <c r="AA209">
        <v>10</v>
      </c>
    </row>
    <row r="210" spans="1:27" x14ac:dyDescent="0.4">
      <c r="A210">
        <v>209</v>
      </c>
      <c r="B210">
        <v>209</v>
      </c>
      <c r="C210" t="s">
        <v>289</v>
      </c>
      <c r="D210">
        <v>23</v>
      </c>
      <c r="E210">
        <v>41</v>
      </c>
      <c r="F210">
        <v>50</v>
      </c>
      <c r="G210">
        <v>41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3</v>
      </c>
      <c r="U210">
        <v>2</v>
      </c>
      <c r="V210">
        <v>0</v>
      </c>
      <c r="W210">
        <v>0</v>
      </c>
      <c r="X210">
        <v>11</v>
      </c>
      <c r="Z210">
        <v>0</v>
      </c>
      <c r="AA210">
        <v>0</v>
      </c>
    </row>
    <row r="211" spans="1:27" x14ac:dyDescent="0.4">
      <c r="A211">
        <v>210</v>
      </c>
      <c r="B211">
        <v>210</v>
      </c>
      <c r="C211" t="s">
        <v>291</v>
      </c>
      <c r="D211">
        <v>24</v>
      </c>
      <c r="E211">
        <v>42</v>
      </c>
      <c r="F211">
        <v>51</v>
      </c>
      <c r="G211">
        <v>42</v>
      </c>
      <c r="H211">
        <v>0</v>
      </c>
      <c r="I211">
        <v>1</v>
      </c>
      <c r="J211">
        <v>0</v>
      </c>
      <c r="K211">
        <v>1</v>
      </c>
      <c r="L211">
        <v>0</v>
      </c>
      <c r="M211">
        <v>0</v>
      </c>
      <c r="N211">
        <v>8</v>
      </c>
      <c r="O211">
        <v>4</v>
      </c>
      <c r="P211">
        <v>0</v>
      </c>
      <c r="Q211">
        <v>2</v>
      </c>
      <c r="R211">
        <v>0</v>
      </c>
      <c r="S211">
        <v>0</v>
      </c>
      <c r="T211">
        <v>2</v>
      </c>
      <c r="U211">
        <v>0</v>
      </c>
      <c r="V211">
        <v>0</v>
      </c>
      <c r="W211">
        <v>12</v>
      </c>
      <c r="X211">
        <v>13</v>
      </c>
      <c r="Z211">
        <v>0</v>
      </c>
      <c r="AA211">
        <v>0</v>
      </c>
    </row>
    <row r="212" spans="1:27" x14ac:dyDescent="0.4">
      <c r="A212">
        <v>211</v>
      </c>
      <c r="B212">
        <v>211</v>
      </c>
      <c r="C212" t="s">
        <v>292</v>
      </c>
      <c r="D212">
        <v>24</v>
      </c>
      <c r="E212">
        <v>42</v>
      </c>
      <c r="F212">
        <v>51</v>
      </c>
      <c r="G212">
        <v>42</v>
      </c>
      <c r="H212">
        <v>0</v>
      </c>
      <c r="I212">
        <v>1</v>
      </c>
      <c r="J212">
        <v>0</v>
      </c>
      <c r="K212">
        <v>1</v>
      </c>
      <c r="L212">
        <v>0</v>
      </c>
      <c r="M212">
        <v>0</v>
      </c>
      <c r="N212">
        <v>11</v>
      </c>
      <c r="O212">
        <v>5</v>
      </c>
      <c r="P212">
        <v>0</v>
      </c>
      <c r="Q212">
        <v>3</v>
      </c>
      <c r="R212">
        <v>0</v>
      </c>
      <c r="S212">
        <v>0</v>
      </c>
      <c r="T212">
        <v>4</v>
      </c>
      <c r="U212">
        <v>0</v>
      </c>
      <c r="V212">
        <v>0</v>
      </c>
      <c r="W212">
        <v>13</v>
      </c>
      <c r="X212">
        <v>15</v>
      </c>
      <c r="Z212">
        <v>0</v>
      </c>
      <c r="AA212">
        <v>0</v>
      </c>
    </row>
    <row r="213" spans="1:27" x14ac:dyDescent="0.4">
      <c r="A213">
        <v>212</v>
      </c>
      <c r="B213">
        <v>212</v>
      </c>
      <c r="C213" t="s">
        <v>293</v>
      </c>
      <c r="D213">
        <v>5</v>
      </c>
      <c r="E213">
        <v>7</v>
      </c>
      <c r="F213">
        <v>9</v>
      </c>
      <c r="G213">
        <v>9</v>
      </c>
      <c r="H213">
        <v>1</v>
      </c>
      <c r="I213">
        <v>1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10</v>
      </c>
      <c r="P213">
        <v>0</v>
      </c>
      <c r="Q213">
        <v>2</v>
      </c>
      <c r="R213">
        <v>0</v>
      </c>
      <c r="S213">
        <v>0</v>
      </c>
      <c r="T213">
        <v>4</v>
      </c>
      <c r="U213">
        <v>2</v>
      </c>
      <c r="V213">
        <v>0</v>
      </c>
      <c r="W213">
        <v>0</v>
      </c>
      <c r="X213">
        <v>11</v>
      </c>
      <c r="Z213">
        <v>8</v>
      </c>
      <c r="AA213">
        <v>9</v>
      </c>
    </row>
    <row r="214" spans="1:27" x14ac:dyDescent="0.4">
      <c r="A214">
        <v>213</v>
      </c>
      <c r="B214">
        <v>213</v>
      </c>
      <c r="C214" t="s">
        <v>294</v>
      </c>
      <c r="D214">
        <v>2</v>
      </c>
      <c r="E214">
        <v>3</v>
      </c>
      <c r="F214">
        <v>32</v>
      </c>
      <c r="G214">
        <v>5</v>
      </c>
      <c r="H214">
        <v>0</v>
      </c>
      <c r="I214">
        <v>0</v>
      </c>
      <c r="J214">
        <v>15</v>
      </c>
      <c r="K214">
        <v>0</v>
      </c>
      <c r="L214">
        <v>0</v>
      </c>
      <c r="M214">
        <v>0</v>
      </c>
      <c r="N214">
        <v>1</v>
      </c>
      <c r="O214">
        <v>0</v>
      </c>
      <c r="P214">
        <v>0</v>
      </c>
      <c r="Q214">
        <v>3</v>
      </c>
      <c r="R214">
        <v>0</v>
      </c>
      <c r="S214">
        <v>1</v>
      </c>
      <c r="T214">
        <v>3</v>
      </c>
      <c r="U214">
        <v>2</v>
      </c>
      <c r="V214">
        <v>3</v>
      </c>
      <c r="W214">
        <v>2</v>
      </c>
      <c r="X214">
        <v>1</v>
      </c>
      <c r="Z214">
        <v>0</v>
      </c>
      <c r="AA214">
        <v>0</v>
      </c>
    </row>
    <row r="215" spans="1:27" x14ac:dyDescent="0.4">
      <c r="A215">
        <v>214</v>
      </c>
      <c r="B215">
        <v>214</v>
      </c>
      <c r="C215" t="s">
        <v>295</v>
      </c>
      <c r="D215">
        <v>2</v>
      </c>
      <c r="E215">
        <v>3</v>
      </c>
      <c r="F215">
        <v>32</v>
      </c>
      <c r="G215">
        <v>5</v>
      </c>
      <c r="H215">
        <v>0</v>
      </c>
      <c r="I215">
        <v>0</v>
      </c>
      <c r="J215">
        <v>15</v>
      </c>
      <c r="K215">
        <v>0</v>
      </c>
      <c r="L215">
        <v>0</v>
      </c>
      <c r="M215">
        <v>0</v>
      </c>
      <c r="N215">
        <v>4</v>
      </c>
      <c r="O215">
        <v>1</v>
      </c>
      <c r="P215">
        <v>0</v>
      </c>
      <c r="Q215">
        <v>5</v>
      </c>
      <c r="R215">
        <v>0</v>
      </c>
      <c r="S215">
        <v>1</v>
      </c>
      <c r="T215">
        <v>4</v>
      </c>
      <c r="U215">
        <v>2</v>
      </c>
      <c r="V215">
        <v>3</v>
      </c>
      <c r="W215">
        <v>2</v>
      </c>
      <c r="X215">
        <v>2</v>
      </c>
      <c r="Z215">
        <v>0</v>
      </c>
      <c r="AA215">
        <v>0</v>
      </c>
    </row>
    <row r="216" spans="1:27" x14ac:dyDescent="0.4">
      <c r="A216">
        <v>215</v>
      </c>
      <c r="B216">
        <v>215</v>
      </c>
      <c r="C216" t="s">
        <v>296</v>
      </c>
      <c r="D216">
        <v>5</v>
      </c>
      <c r="E216">
        <v>36</v>
      </c>
      <c r="F216">
        <v>45</v>
      </c>
      <c r="G216">
        <v>43</v>
      </c>
      <c r="H216">
        <v>25</v>
      </c>
      <c r="I216">
        <v>0</v>
      </c>
      <c r="J216">
        <v>0</v>
      </c>
      <c r="K216">
        <v>3</v>
      </c>
      <c r="L216">
        <v>0</v>
      </c>
      <c r="M216">
        <v>1</v>
      </c>
      <c r="N216">
        <v>2</v>
      </c>
      <c r="O216">
        <v>3</v>
      </c>
      <c r="P216">
        <v>0</v>
      </c>
      <c r="Q216">
        <v>2</v>
      </c>
      <c r="R216">
        <v>0</v>
      </c>
      <c r="S216">
        <v>0</v>
      </c>
      <c r="T216">
        <v>4</v>
      </c>
      <c r="U216">
        <v>1</v>
      </c>
      <c r="V216">
        <v>1</v>
      </c>
      <c r="W216">
        <v>0</v>
      </c>
      <c r="X216">
        <v>2</v>
      </c>
      <c r="Z216">
        <v>3</v>
      </c>
      <c r="AA216">
        <v>4</v>
      </c>
    </row>
    <row r="217" spans="1:27" x14ac:dyDescent="0.4">
      <c r="A217">
        <v>216</v>
      </c>
      <c r="B217">
        <v>216</v>
      </c>
      <c r="C217" t="s">
        <v>297</v>
      </c>
      <c r="D217">
        <v>5</v>
      </c>
      <c r="E217">
        <v>36</v>
      </c>
      <c r="F217">
        <v>45</v>
      </c>
      <c r="G217">
        <v>43</v>
      </c>
      <c r="H217">
        <v>3</v>
      </c>
      <c r="I217">
        <v>0</v>
      </c>
      <c r="J217">
        <v>0</v>
      </c>
      <c r="K217">
        <v>5</v>
      </c>
      <c r="L217">
        <v>0</v>
      </c>
      <c r="M217">
        <v>1</v>
      </c>
      <c r="N217">
        <v>2</v>
      </c>
      <c r="O217">
        <v>1</v>
      </c>
      <c r="P217">
        <v>0</v>
      </c>
      <c r="Q217">
        <v>1</v>
      </c>
      <c r="R217">
        <v>0</v>
      </c>
      <c r="S217">
        <v>0</v>
      </c>
      <c r="T217">
        <v>4</v>
      </c>
      <c r="U217">
        <v>1</v>
      </c>
      <c r="V217">
        <v>1</v>
      </c>
      <c r="W217">
        <v>0</v>
      </c>
      <c r="X217">
        <v>4</v>
      </c>
      <c r="Z217">
        <v>4</v>
      </c>
      <c r="AA217">
        <v>5</v>
      </c>
    </row>
    <row r="218" spans="1:27" x14ac:dyDescent="0.4">
      <c r="A218">
        <v>217</v>
      </c>
      <c r="B218">
        <v>217</v>
      </c>
      <c r="C218" t="s">
        <v>298</v>
      </c>
      <c r="D218">
        <v>5</v>
      </c>
      <c r="E218">
        <v>36</v>
      </c>
      <c r="F218">
        <v>45</v>
      </c>
      <c r="G218">
        <v>43</v>
      </c>
      <c r="H218">
        <v>26</v>
      </c>
      <c r="I218">
        <v>0</v>
      </c>
      <c r="J218">
        <v>0</v>
      </c>
      <c r="K218">
        <v>5</v>
      </c>
      <c r="L218">
        <v>0</v>
      </c>
      <c r="M218">
        <v>0</v>
      </c>
      <c r="N218">
        <v>3</v>
      </c>
      <c r="O218">
        <v>1</v>
      </c>
      <c r="P218">
        <v>0</v>
      </c>
      <c r="Q218">
        <v>0</v>
      </c>
      <c r="R218">
        <v>0</v>
      </c>
      <c r="S218">
        <v>0</v>
      </c>
      <c r="T218">
        <v>3</v>
      </c>
      <c r="U218">
        <v>1</v>
      </c>
      <c r="V218">
        <v>1</v>
      </c>
      <c r="W218">
        <v>0</v>
      </c>
      <c r="X218">
        <v>6</v>
      </c>
      <c r="Z218">
        <v>3</v>
      </c>
      <c r="AA218">
        <v>6</v>
      </c>
    </row>
    <row r="219" spans="1:27" x14ac:dyDescent="0.4">
      <c r="A219">
        <v>218</v>
      </c>
      <c r="B219">
        <v>218</v>
      </c>
      <c r="C219" t="s">
        <v>299</v>
      </c>
      <c r="D219">
        <v>22</v>
      </c>
      <c r="E219">
        <v>39</v>
      </c>
      <c r="F219">
        <v>48</v>
      </c>
      <c r="G219">
        <v>44</v>
      </c>
      <c r="H219">
        <v>27</v>
      </c>
      <c r="I219">
        <v>0</v>
      </c>
      <c r="J219">
        <v>0</v>
      </c>
      <c r="K219">
        <v>10</v>
      </c>
      <c r="L219">
        <v>0</v>
      </c>
      <c r="M219">
        <v>0</v>
      </c>
      <c r="N219">
        <v>1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3</v>
      </c>
      <c r="U219">
        <v>3</v>
      </c>
      <c r="V219">
        <v>2</v>
      </c>
      <c r="W219">
        <v>0</v>
      </c>
      <c r="X219">
        <v>9</v>
      </c>
      <c r="Z219">
        <v>5</v>
      </c>
      <c r="AA219">
        <v>7</v>
      </c>
    </row>
    <row r="220" spans="1:27" x14ac:dyDescent="0.4">
      <c r="A220">
        <v>219</v>
      </c>
      <c r="B220">
        <v>219</v>
      </c>
      <c r="C220" t="s">
        <v>300</v>
      </c>
      <c r="D220">
        <v>3</v>
      </c>
      <c r="E220">
        <v>5</v>
      </c>
      <c r="F220">
        <v>7</v>
      </c>
      <c r="G220">
        <v>7</v>
      </c>
      <c r="H220">
        <v>12</v>
      </c>
      <c r="I220">
        <v>0</v>
      </c>
      <c r="J220">
        <v>0</v>
      </c>
      <c r="K220">
        <v>5</v>
      </c>
      <c r="L220">
        <v>0</v>
      </c>
      <c r="M220">
        <v>2</v>
      </c>
      <c r="N220">
        <v>0</v>
      </c>
      <c r="O220">
        <v>0</v>
      </c>
      <c r="P220">
        <v>0</v>
      </c>
      <c r="Q220">
        <v>0</v>
      </c>
      <c r="R220">
        <v>5</v>
      </c>
      <c r="S220">
        <v>0</v>
      </c>
      <c r="T220">
        <v>3</v>
      </c>
      <c r="U220">
        <v>1</v>
      </c>
      <c r="V220">
        <v>4</v>
      </c>
      <c r="W220">
        <v>0</v>
      </c>
      <c r="X220">
        <v>4</v>
      </c>
      <c r="Z220">
        <v>4</v>
      </c>
      <c r="AA220">
        <v>6</v>
      </c>
    </row>
    <row r="221" spans="1:27" x14ac:dyDescent="0.4">
      <c r="A221">
        <v>220</v>
      </c>
      <c r="B221">
        <v>220</v>
      </c>
      <c r="C221" t="s">
        <v>301</v>
      </c>
      <c r="D221">
        <v>1</v>
      </c>
      <c r="E221">
        <v>2</v>
      </c>
      <c r="F221">
        <v>4</v>
      </c>
      <c r="G221">
        <v>16</v>
      </c>
      <c r="H221">
        <v>0</v>
      </c>
      <c r="I221">
        <v>1</v>
      </c>
      <c r="J221">
        <v>0</v>
      </c>
      <c r="K221">
        <v>7</v>
      </c>
      <c r="L221">
        <v>0</v>
      </c>
      <c r="M221">
        <v>0</v>
      </c>
      <c r="N221">
        <v>1</v>
      </c>
      <c r="O221">
        <v>0</v>
      </c>
      <c r="P221">
        <v>0</v>
      </c>
      <c r="Q221">
        <v>2</v>
      </c>
      <c r="R221">
        <v>0</v>
      </c>
      <c r="S221">
        <v>1</v>
      </c>
      <c r="T221">
        <v>4</v>
      </c>
      <c r="U221">
        <v>0</v>
      </c>
      <c r="V221">
        <v>2</v>
      </c>
      <c r="W221">
        <v>3</v>
      </c>
      <c r="X221">
        <v>2</v>
      </c>
      <c r="Z221">
        <v>0</v>
      </c>
      <c r="AA221">
        <v>0</v>
      </c>
    </row>
    <row r="222" spans="1:27" x14ac:dyDescent="0.4">
      <c r="A222">
        <v>221</v>
      </c>
      <c r="B222">
        <v>221</v>
      </c>
      <c r="C222" t="s">
        <v>302</v>
      </c>
      <c r="D222">
        <v>22</v>
      </c>
      <c r="E222">
        <v>39</v>
      </c>
      <c r="F222">
        <v>48</v>
      </c>
      <c r="G222">
        <v>44</v>
      </c>
      <c r="H222">
        <v>18</v>
      </c>
      <c r="I222">
        <v>0</v>
      </c>
      <c r="J222">
        <v>0</v>
      </c>
      <c r="K222">
        <v>6</v>
      </c>
      <c r="L222">
        <v>0</v>
      </c>
      <c r="M222">
        <v>0</v>
      </c>
      <c r="N222">
        <v>2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2</v>
      </c>
      <c r="U222">
        <v>1</v>
      </c>
      <c r="V222">
        <v>1</v>
      </c>
      <c r="W222">
        <v>0</v>
      </c>
      <c r="X222">
        <v>3</v>
      </c>
      <c r="Z222">
        <v>6</v>
      </c>
      <c r="AA222">
        <v>4</v>
      </c>
    </row>
    <row r="223" spans="1:27" x14ac:dyDescent="0.4">
      <c r="A223">
        <v>222</v>
      </c>
      <c r="B223">
        <v>222</v>
      </c>
      <c r="C223" t="s">
        <v>303</v>
      </c>
      <c r="D223">
        <v>22</v>
      </c>
      <c r="E223">
        <v>39</v>
      </c>
      <c r="F223">
        <v>48</v>
      </c>
      <c r="G223">
        <v>44</v>
      </c>
      <c r="H223">
        <v>27</v>
      </c>
      <c r="I223">
        <v>1</v>
      </c>
      <c r="J223">
        <v>0</v>
      </c>
      <c r="K223">
        <v>7</v>
      </c>
      <c r="L223">
        <v>0</v>
      </c>
      <c r="M223">
        <v>0</v>
      </c>
      <c r="N223">
        <v>3</v>
      </c>
      <c r="O223">
        <v>0</v>
      </c>
      <c r="P223">
        <v>0</v>
      </c>
      <c r="Q223">
        <v>1</v>
      </c>
      <c r="R223">
        <v>0</v>
      </c>
      <c r="S223">
        <v>0</v>
      </c>
      <c r="T223">
        <v>3</v>
      </c>
      <c r="U223">
        <v>1</v>
      </c>
      <c r="V223">
        <v>1</v>
      </c>
      <c r="W223">
        <v>0</v>
      </c>
      <c r="X223">
        <v>4</v>
      </c>
      <c r="Z223">
        <v>6</v>
      </c>
      <c r="AA223">
        <v>4</v>
      </c>
    </row>
    <row r="224" spans="1:27" x14ac:dyDescent="0.4">
      <c r="A224">
        <v>223</v>
      </c>
      <c r="B224">
        <v>223</v>
      </c>
      <c r="C224" t="s">
        <v>304</v>
      </c>
      <c r="D224">
        <v>22</v>
      </c>
      <c r="E224">
        <v>39</v>
      </c>
      <c r="F224">
        <v>48</v>
      </c>
      <c r="G224">
        <v>44</v>
      </c>
      <c r="H224">
        <v>27</v>
      </c>
      <c r="I224">
        <v>2</v>
      </c>
      <c r="J224">
        <v>0</v>
      </c>
      <c r="K224">
        <v>8</v>
      </c>
      <c r="L224">
        <v>0</v>
      </c>
      <c r="M224">
        <v>0</v>
      </c>
      <c r="N224">
        <v>3</v>
      </c>
      <c r="O224">
        <v>1</v>
      </c>
      <c r="P224">
        <v>0</v>
      </c>
      <c r="Q224">
        <v>1</v>
      </c>
      <c r="R224">
        <v>0</v>
      </c>
      <c r="S224">
        <v>0</v>
      </c>
      <c r="T224">
        <v>4</v>
      </c>
      <c r="U224">
        <v>1</v>
      </c>
      <c r="V224">
        <v>1</v>
      </c>
      <c r="W224">
        <v>0</v>
      </c>
      <c r="X224">
        <v>4</v>
      </c>
      <c r="Z224">
        <v>7</v>
      </c>
      <c r="AA224">
        <v>4</v>
      </c>
    </row>
    <row r="225" spans="1:27" x14ac:dyDescent="0.4">
      <c r="A225">
        <v>224</v>
      </c>
      <c r="B225">
        <v>224</v>
      </c>
      <c r="C225" t="s">
        <v>305</v>
      </c>
      <c r="D225">
        <v>22</v>
      </c>
      <c r="E225">
        <v>39</v>
      </c>
      <c r="F225">
        <v>47</v>
      </c>
      <c r="G225">
        <v>44</v>
      </c>
      <c r="H225">
        <v>27</v>
      </c>
      <c r="I225">
        <v>3</v>
      </c>
      <c r="J225">
        <v>0</v>
      </c>
      <c r="K225">
        <v>6</v>
      </c>
      <c r="L225">
        <v>0</v>
      </c>
      <c r="M225">
        <v>0</v>
      </c>
      <c r="N225">
        <v>2</v>
      </c>
      <c r="O225">
        <v>1</v>
      </c>
      <c r="P225">
        <v>0</v>
      </c>
      <c r="Q225">
        <v>3</v>
      </c>
      <c r="R225">
        <v>8</v>
      </c>
      <c r="S225">
        <v>0</v>
      </c>
      <c r="T225">
        <v>4</v>
      </c>
      <c r="U225">
        <v>1</v>
      </c>
      <c r="V225">
        <v>3</v>
      </c>
      <c r="W225">
        <v>0</v>
      </c>
      <c r="X225">
        <v>5</v>
      </c>
      <c r="Z225">
        <v>5</v>
      </c>
      <c r="AA225">
        <v>4</v>
      </c>
    </row>
    <row r="226" spans="1:27" x14ac:dyDescent="0.4">
      <c r="A226">
        <v>225</v>
      </c>
      <c r="B226">
        <v>225</v>
      </c>
      <c r="C226" t="s">
        <v>306</v>
      </c>
      <c r="D226">
        <v>22</v>
      </c>
      <c r="E226">
        <v>39</v>
      </c>
      <c r="F226">
        <v>48</v>
      </c>
      <c r="G226">
        <v>44</v>
      </c>
      <c r="H226">
        <v>27</v>
      </c>
      <c r="I226">
        <v>1</v>
      </c>
      <c r="J226">
        <v>0</v>
      </c>
      <c r="K226">
        <v>11</v>
      </c>
      <c r="L226">
        <v>0</v>
      </c>
      <c r="M226">
        <v>0</v>
      </c>
      <c r="N226">
        <v>5</v>
      </c>
      <c r="O226">
        <v>1</v>
      </c>
      <c r="P226">
        <v>0</v>
      </c>
      <c r="Q226">
        <v>1</v>
      </c>
      <c r="R226">
        <v>0</v>
      </c>
      <c r="S226">
        <v>0</v>
      </c>
      <c r="T226">
        <v>5</v>
      </c>
      <c r="U226">
        <v>1</v>
      </c>
      <c r="V226">
        <v>2</v>
      </c>
      <c r="W226">
        <v>0</v>
      </c>
      <c r="X226">
        <v>3</v>
      </c>
      <c r="Z226">
        <v>7</v>
      </c>
      <c r="AA226">
        <v>4</v>
      </c>
    </row>
    <row r="227" spans="1:27" x14ac:dyDescent="0.4">
      <c r="A227">
        <v>226</v>
      </c>
      <c r="B227">
        <v>226</v>
      </c>
      <c r="C227" t="s">
        <v>307</v>
      </c>
      <c r="D227">
        <v>7</v>
      </c>
      <c r="E227">
        <v>32</v>
      </c>
      <c r="F227">
        <v>15</v>
      </c>
      <c r="G227">
        <v>17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4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1</v>
      </c>
      <c r="V227">
        <v>2</v>
      </c>
      <c r="W227">
        <v>0</v>
      </c>
      <c r="X227">
        <v>1</v>
      </c>
      <c r="Z227">
        <v>0</v>
      </c>
      <c r="AA227">
        <v>0</v>
      </c>
    </row>
    <row r="228" spans="1:27" x14ac:dyDescent="0.4">
      <c r="A228">
        <v>227</v>
      </c>
      <c r="B228">
        <v>227</v>
      </c>
      <c r="C228" t="s">
        <v>308</v>
      </c>
      <c r="D228">
        <v>7</v>
      </c>
      <c r="E228">
        <v>32</v>
      </c>
      <c r="F228">
        <v>15</v>
      </c>
      <c r="G228">
        <v>17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7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2</v>
      </c>
      <c r="U228">
        <v>1</v>
      </c>
      <c r="V228">
        <v>3</v>
      </c>
      <c r="W228">
        <v>0</v>
      </c>
      <c r="X228">
        <v>1</v>
      </c>
      <c r="Z228">
        <v>0</v>
      </c>
      <c r="AA228">
        <v>0</v>
      </c>
    </row>
    <row r="229" spans="1:27" x14ac:dyDescent="0.4">
      <c r="A229">
        <v>228</v>
      </c>
      <c r="B229">
        <v>228</v>
      </c>
      <c r="C229" t="s">
        <v>309</v>
      </c>
      <c r="D229">
        <v>3</v>
      </c>
      <c r="E229">
        <v>5</v>
      </c>
      <c r="F229">
        <v>6</v>
      </c>
      <c r="G229">
        <v>6</v>
      </c>
      <c r="H229">
        <v>1</v>
      </c>
      <c r="I229">
        <v>0</v>
      </c>
      <c r="J229">
        <v>0</v>
      </c>
      <c r="K229">
        <v>4</v>
      </c>
      <c r="L229">
        <v>0</v>
      </c>
      <c r="M229">
        <v>0</v>
      </c>
      <c r="N229">
        <v>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2</v>
      </c>
      <c r="U229">
        <v>1</v>
      </c>
      <c r="V229">
        <v>1</v>
      </c>
      <c r="W229">
        <v>0</v>
      </c>
      <c r="X229">
        <v>2</v>
      </c>
      <c r="Z229">
        <v>4</v>
      </c>
      <c r="AA229">
        <v>3</v>
      </c>
    </row>
    <row r="230" spans="1:27" x14ac:dyDescent="0.4">
      <c r="A230">
        <v>229</v>
      </c>
      <c r="B230">
        <v>229</v>
      </c>
      <c r="C230" t="s">
        <v>310</v>
      </c>
      <c r="D230">
        <v>1</v>
      </c>
      <c r="E230">
        <v>1</v>
      </c>
      <c r="F230">
        <v>1</v>
      </c>
      <c r="G230">
        <v>16</v>
      </c>
      <c r="H230">
        <v>0</v>
      </c>
      <c r="I230">
        <v>1</v>
      </c>
      <c r="J230">
        <v>0</v>
      </c>
      <c r="K230">
        <v>4</v>
      </c>
      <c r="L230">
        <v>0</v>
      </c>
      <c r="M230">
        <v>1</v>
      </c>
      <c r="N230">
        <v>1</v>
      </c>
      <c r="O230">
        <v>0</v>
      </c>
      <c r="P230">
        <v>0</v>
      </c>
      <c r="Q230">
        <v>1</v>
      </c>
      <c r="R230">
        <v>0</v>
      </c>
      <c r="S230">
        <v>1</v>
      </c>
      <c r="T230">
        <v>2</v>
      </c>
      <c r="U230">
        <v>0</v>
      </c>
      <c r="V230">
        <v>1</v>
      </c>
      <c r="W230">
        <v>2</v>
      </c>
      <c r="X230">
        <v>0</v>
      </c>
      <c r="Z230">
        <v>0</v>
      </c>
      <c r="AA230">
        <v>0</v>
      </c>
    </row>
    <row r="231" spans="1:27" x14ac:dyDescent="0.4">
      <c r="A231">
        <v>230</v>
      </c>
      <c r="B231">
        <v>230</v>
      </c>
      <c r="C231" t="s">
        <v>311</v>
      </c>
      <c r="D231">
        <v>8</v>
      </c>
      <c r="E231">
        <v>14</v>
      </c>
      <c r="F231">
        <v>24</v>
      </c>
      <c r="G231">
        <v>20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4</v>
      </c>
      <c r="U231">
        <v>2</v>
      </c>
      <c r="V231">
        <v>4</v>
      </c>
      <c r="W231">
        <v>5</v>
      </c>
      <c r="X231">
        <v>1</v>
      </c>
      <c r="Z231">
        <v>0</v>
      </c>
      <c r="AA231">
        <v>0</v>
      </c>
    </row>
    <row r="232" spans="1:27" x14ac:dyDescent="0.4">
      <c r="A232">
        <v>231</v>
      </c>
      <c r="B232">
        <v>231</v>
      </c>
      <c r="C232" t="s">
        <v>312</v>
      </c>
      <c r="D232">
        <v>1</v>
      </c>
      <c r="E232">
        <v>1</v>
      </c>
      <c r="F232">
        <v>3</v>
      </c>
      <c r="G232">
        <v>3</v>
      </c>
      <c r="H232">
        <v>0</v>
      </c>
      <c r="I232">
        <v>16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1</v>
      </c>
      <c r="R232">
        <v>0</v>
      </c>
      <c r="S232">
        <v>3</v>
      </c>
      <c r="T232">
        <v>2</v>
      </c>
      <c r="U232">
        <v>0</v>
      </c>
      <c r="V232">
        <v>8</v>
      </c>
      <c r="W232">
        <v>12</v>
      </c>
      <c r="X232">
        <v>0</v>
      </c>
      <c r="Z232">
        <v>0</v>
      </c>
      <c r="AA232">
        <v>0</v>
      </c>
    </row>
    <row r="233" spans="1:27" x14ac:dyDescent="0.4">
      <c r="A233">
        <v>232</v>
      </c>
      <c r="B233">
        <v>232</v>
      </c>
      <c r="C233" t="s">
        <v>313</v>
      </c>
      <c r="D233">
        <v>1</v>
      </c>
      <c r="E233">
        <v>1</v>
      </c>
      <c r="F233">
        <v>3</v>
      </c>
      <c r="G233">
        <v>3</v>
      </c>
      <c r="H233">
        <v>0</v>
      </c>
      <c r="I233">
        <v>17</v>
      </c>
      <c r="J233">
        <v>0</v>
      </c>
      <c r="K233">
        <v>3</v>
      </c>
      <c r="L233">
        <v>1</v>
      </c>
      <c r="M233">
        <v>0</v>
      </c>
      <c r="N233">
        <v>1</v>
      </c>
      <c r="O233">
        <v>0</v>
      </c>
      <c r="P233">
        <v>0</v>
      </c>
      <c r="Q233">
        <v>3</v>
      </c>
      <c r="R233">
        <v>0</v>
      </c>
      <c r="S233">
        <v>3</v>
      </c>
      <c r="T233">
        <v>3</v>
      </c>
      <c r="U233">
        <v>0</v>
      </c>
      <c r="V233">
        <v>9</v>
      </c>
      <c r="W233">
        <v>13</v>
      </c>
      <c r="X233">
        <v>3</v>
      </c>
      <c r="Z233">
        <v>0</v>
      </c>
      <c r="AA233">
        <v>0</v>
      </c>
    </row>
    <row r="234" spans="1:27" x14ac:dyDescent="0.4">
      <c r="A234">
        <v>233</v>
      </c>
      <c r="B234">
        <v>233</v>
      </c>
      <c r="C234" t="s">
        <v>314</v>
      </c>
      <c r="D234">
        <v>3</v>
      </c>
      <c r="E234">
        <v>5</v>
      </c>
      <c r="F234">
        <v>7</v>
      </c>
      <c r="G234">
        <v>7</v>
      </c>
      <c r="H234">
        <v>21</v>
      </c>
      <c r="I234">
        <v>1</v>
      </c>
      <c r="J234">
        <v>0</v>
      </c>
      <c r="K234">
        <v>7</v>
      </c>
      <c r="L234">
        <v>0</v>
      </c>
      <c r="M234">
        <v>1</v>
      </c>
      <c r="N234">
        <v>1</v>
      </c>
      <c r="O234">
        <v>1</v>
      </c>
      <c r="P234">
        <v>0</v>
      </c>
      <c r="Q234">
        <v>0</v>
      </c>
      <c r="R234">
        <v>7</v>
      </c>
      <c r="S234">
        <v>0</v>
      </c>
      <c r="T234">
        <v>5</v>
      </c>
      <c r="U234">
        <v>2</v>
      </c>
      <c r="V234">
        <v>6</v>
      </c>
      <c r="W234">
        <v>0</v>
      </c>
      <c r="X234">
        <v>7</v>
      </c>
      <c r="Z234">
        <v>6</v>
      </c>
      <c r="AA234">
        <v>9</v>
      </c>
    </row>
    <row r="235" spans="1:27" x14ac:dyDescent="0.4">
      <c r="A235">
        <v>234</v>
      </c>
      <c r="B235">
        <v>234</v>
      </c>
      <c r="C235" t="s">
        <v>315</v>
      </c>
      <c r="D235">
        <v>1</v>
      </c>
      <c r="E235">
        <v>2</v>
      </c>
      <c r="F235">
        <v>4</v>
      </c>
      <c r="G235">
        <v>4</v>
      </c>
      <c r="H235">
        <v>0</v>
      </c>
      <c r="I235">
        <v>7</v>
      </c>
      <c r="J235">
        <v>0</v>
      </c>
      <c r="K235">
        <v>5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4</v>
      </c>
      <c r="R235">
        <v>0</v>
      </c>
      <c r="S235">
        <v>2</v>
      </c>
      <c r="T235">
        <v>3</v>
      </c>
      <c r="U235">
        <v>0</v>
      </c>
      <c r="V235">
        <v>3</v>
      </c>
      <c r="W235">
        <v>6</v>
      </c>
      <c r="X235">
        <v>1</v>
      </c>
      <c r="Z235">
        <v>0</v>
      </c>
      <c r="AA235">
        <v>0</v>
      </c>
    </row>
    <row r="236" spans="1:27" x14ac:dyDescent="0.4">
      <c r="A236">
        <v>235</v>
      </c>
      <c r="B236">
        <v>235</v>
      </c>
      <c r="C236" t="s">
        <v>316</v>
      </c>
      <c r="D236">
        <v>1</v>
      </c>
      <c r="E236">
        <v>1</v>
      </c>
      <c r="F236">
        <v>2</v>
      </c>
      <c r="G236">
        <v>2</v>
      </c>
      <c r="H236">
        <v>0</v>
      </c>
      <c r="I236">
        <v>7</v>
      </c>
      <c r="J236">
        <v>0</v>
      </c>
      <c r="K236">
        <v>5</v>
      </c>
      <c r="L236">
        <v>1</v>
      </c>
      <c r="M236">
        <v>0</v>
      </c>
      <c r="N236">
        <v>1</v>
      </c>
      <c r="O236">
        <v>0</v>
      </c>
      <c r="P236">
        <v>0</v>
      </c>
      <c r="Q236">
        <v>3</v>
      </c>
      <c r="R236">
        <v>0</v>
      </c>
      <c r="S236">
        <v>2</v>
      </c>
      <c r="T236">
        <v>3</v>
      </c>
      <c r="U236">
        <v>0</v>
      </c>
      <c r="V236">
        <v>3</v>
      </c>
      <c r="W236">
        <v>6</v>
      </c>
      <c r="X236">
        <v>1</v>
      </c>
      <c r="Z236">
        <v>0</v>
      </c>
      <c r="AA236">
        <v>0</v>
      </c>
    </row>
    <row r="237" spans="1:27" x14ac:dyDescent="0.4">
      <c r="A237">
        <v>236</v>
      </c>
      <c r="B237">
        <v>236</v>
      </c>
      <c r="C237" t="s">
        <v>317</v>
      </c>
      <c r="D237">
        <v>1</v>
      </c>
      <c r="E237">
        <v>1</v>
      </c>
      <c r="F237">
        <v>3</v>
      </c>
      <c r="G237">
        <v>3</v>
      </c>
      <c r="H237">
        <v>0</v>
      </c>
      <c r="I237">
        <v>22</v>
      </c>
      <c r="J237">
        <v>0</v>
      </c>
      <c r="K237">
        <v>6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4</v>
      </c>
      <c r="R237">
        <v>0</v>
      </c>
      <c r="S237">
        <v>3</v>
      </c>
      <c r="T237">
        <v>5</v>
      </c>
      <c r="U237">
        <v>0</v>
      </c>
      <c r="V237">
        <v>18</v>
      </c>
      <c r="W237">
        <v>23</v>
      </c>
      <c r="X237">
        <v>4</v>
      </c>
      <c r="Z237">
        <v>0</v>
      </c>
      <c r="AA237">
        <v>0</v>
      </c>
    </row>
    <row r="238" spans="1:27" x14ac:dyDescent="0.4">
      <c r="A238">
        <v>237</v>
      </c>
      <c r="B238">
        <v>237</v>
      </c>
      <c r="C238" t="s">
        <v>318</v>
      </c>
      <c r="D238">
        <v>5</v>
      </c>
      <c r="E238">
        <v>43</v>
      </c>
      <c r="F238">
        <v>11</v>
      </c>
      <c r="G238">
        <v>10</v>
      </c>
      <c r="H238">
        <v>32</v>
      </c>
      <c r="I238">
        <v>0</v>
      </c>
      <c r="J238">
        <v>0</v>
      </c>
      <c r="K238">
        <v>4</v>
      </c>
      <c r="L238">
        <v>0</v>
      </c>
      <c r="M238">
        <v>6</v>
      </c>
      <c r="N238">
        <v>1</v>
      </c>
      <c r="O238">
        <v>7</v>
      </c>
      <c r="P238">
        <v>0</v>
      </c>
      <c r="Q238">
        <v>1</v>
      </c>
      <c r="R238">
        <v>9</v>
      </c>
      <c r="S238">
        <v>0</v>
      </c>
      <c r="T238">
        <v>5</v>
      </c>
      <c r="U238">
        <v>2</v>
      </c>
      <c r="V238">
        <v>3</v>
      </c>
      <c r="W238">
        <v>0</v>
      </c>
      <c r="X238">
        <v>5</v>
      </c>
      <c r="Z238">
        <v>5</v>
      </c>
      <c r="AA238">
        <v>7</v>
      </c>
    </row>
    <row r="239" spans="1:27" x14ac:dyDescent="0.4">
      <c r="A239">
        <v>238</v>
      </c>
      <c r="B239">
        <v>238</v>
      </c>
      <c r="C239" t="s">
        <v>319</v>
      </c>
      <c r="D239">
        <v>5</v>
      </c>
      <c r="E239">
        <v>7</v>
      </c>
      <c r="F239">
        <v>10</v>
      </c>
      <c r="G239">
        <v>10</v>
      </c>
      <c r="H239">
        <v>2</v>
      </c>
      <c r="I239">
        <v>1</v>
      </c>
      <c r="J239">
        <v>0</v>
      </c>
      <c r="K239">
        <v>1</v>
      </c>
      <c r="L239">
        <v>0</v>
      </c>
      <c r="M239">
        <v>7</v>
      </c>
      <c r="N239">
        <v>0</v>
      </c>
      <c r="O239">
        <v>6</v>
      </c>
      <c r="P239">
        <v>0</v>
      </c>
      <c r="Q239">
        <v>2</v>
      </c>
      <c r="R239">
        <v>0</v>
      </c>
      <c r="S239">
        <v>0</v>
      </c>
      <c r="T239">
        <v>3</v>
      </c>
      <c r="U239">
        <v>1</v>
      </c>
      <c r="V239">
        <v>2</v>
      </c>
      <c r="W239">
        <v>0</v>
      </c>
      <c r="X239">
        <v>3</v>
      </c>
      <c r="Z239">
        <v>7</v>
      </c>
      <c r="AA239">
        <v>5</v>
      </c>
    </row>
    <row r="240" spans="1:27" x14ac:dyDescent="0.4">
      <c r="A240">
        <v>239</v>
      </c>
      <c r="B240">
        <v>239</v>
      </c>
      <c r="C240" t="s">
        <v>320</v>
      </c>
      <c r="D240">
        <v>5</v>
      </c>
      <c r="E240">
        <v>7</v>
      </c>
      <c r="F240">
        <v>10</v>
      </c>
      <c r="G240">
        <v>10</v>
      </c>
      <c r="H240">
        <v>2</v>
      </c>
      <c r="I240">
        <v>2</v>
      </c>
      <c r="J240">
        <v>0</v>
      </c>
      <c r="K240">
        <v>1</v>
      </c>
      <c r="L240">
        <v>0</v>
      </c>
      <c r="M240">
        <v>8</v>
      </c>
      <c r="N240">
        <v>0</v>
      </c>
      <c r="O240">
        <v>8</v>
      </c>
      <c r="P240">
        <v>0</v>
      </c>
      <c r="Q240">
        <v>3</v>
      </c>
      <c r="R240">
        <v>0</v>
      </c>
      <c r="S240">
        <v>0</v>
      </c>
      <c r="T240">
        <v>4</v>
      </c>
      <c r="U240">
        <v>1</v>
      </c>
      <c r="V240">
        <v>2</v>
      </c>
      <c r="W240">
        <v>0</v>
      </c>
      <c r="X240">
        <v>3</v>
      </c>
      <c r="Z240">
        <v>7</v>
      </c>
      <c r="AA240">
        <v>5</v>
      </c>
    </row>
    <row r="241" spans="1:27" x14ac:dyDescent="0.4">
      <c r="A241">
        <v>240</v>
      </c>
      <c r="B241">
        <v>240</v>
      </c>
      <c r="C241" t="s">
        <v>321</v>
      </c>
      <c r="D241">
        <v>5</v>
      </c>
      <c r="E241">
        <v>8</v>
      </c>
      <c r="F241">
        <v>12</v>
      </c>
      <c r="G241">
        <v>11</v>
      </c>
      <c r="H241">
        <v>0</v>
      </c>
      <c r="I241">
        <v>1</v>
      </c>
      <c r="J241">
        <v>0</v>
      </c>
      <c r="K241">
        <v>0</v>
      </c>
      <c r="L241">
        <v>0</v>
      </c>
      <c r="M241">
        <v>2</v>
      </c>
      <c r="N241">
        <v>0</v>
      </c>
      <c r="O241">
        <v>7</v>
      </c>
      <c r="P241">
        <v>0</v>
      </c>
      <c r="Q241">
        <v>9</v>
      </c>
      <c r="R241">
        <v>0</v>
      </c>
      <c r="S241">
        <v>0</v>
      </c>
      <c r="T241">
        <v>4</v>
      </c>
      <c r="U241">
        <v>0</v>
      </c>
      <c r="V241">
        <v>0</v>
      </c>
      <c r="W241">
        <v>16</v>
      </c>
      <c r="X241">
        <v>17</v>
      </c>
      <c r="Z241">
        <v>0</v>
      </c>
      <c r="AA241">
        <v>0</v>
      </c>
    </row>
    <row r="242" spans="1:27" x14ac:dyDescent="0.4">
      <c r="A242">
        <v>241</v>
      </c>
      <c r="B242">
        <v>241</v>
      </c>
      <c r="C242" t="s">
        <v>322</v>
      </c>
      <c r="D242">
        <v>18</v>
      </c>
      <c r="E242">
        <v>34</v>
      </c>
      <c r="F242">
        <v>43</v>
      </c>
      <c r="G242">
        <v>34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3</v>
      </c>
      <c r="U242">
        <v>1</v>
      </c>
      <c r="V242">
        <v>0</v>
      </c>
      <c r="W242">
        <v>0</v>
      </c>
      <c r="X242">
        <v>1</v>
      </c>
      <c r="Z242">
        <v>0</v>
      </c>
      <c r="AA242">
        <v>0</v>
      </c>
    </row>
    <row r="243" spans="1:27" x14ac:dyDescent="0.4">
      <c r="A243">
        <v>242</v>
      </c>
      <c r="B243">
        <v>242</v>
      </c>
      <c r="C243" t="s">
        <v>323</v>
      </c>
      <c r="D243">
        <v>3</v>
      </c>
      <c r="E243">
        <v>5</v>
      </c>
      <c r="F243">
        <v>8</v>
      </c>
      <c r="G243">
        <v>8</v>
      </c>
      <c r="H243">
        <v>28</v>
      </c>
      <c r="I243">
        <v>2</v>
      </c>
      <c r="J243">
        <v>3</v>
      </c>
      <c r="K243">
        <v>0</v>
      </c>
      <c r="L243">
        <v>0</v>
      </c>
      <c r="M243">
        <v>4</v>
      </c>
      <c r="N243">
        <v>0</v>
      </c>
      <c r="O243">
        <v>1</v>
      </c>
      <c r="P243">
        <v>0</v>
      </c>
      <c r="Q243">
        <v>1</v>
      </c>
      <c r="R243">
        <v>0</v>
      </c>
      <c r="S243">
        <v>0</v>
      </c>
      <c r="T243">
        <v>2</v>
      </c>
      <c r="U243">
        <v>1</v>
      </c>
      <c r="V243">
        <v>1</v>
      </c>
      <c r="W243">
        <v>0</v>
      </c>
      <c r="X243">
        <v>1</v>
      </c>
      <c r="Z243">
        <v>3</v>
      </c>
      <c r="AA243">
        <v>3</v>
      </c>
    </row>
    <row r="244" spans="1:27" x14ac:dyDescent="0.4">
      <c r="A244">
        <v>243</v>
      </c>
      <c r="B244">
        <v>243</v>
      </c>
      <c r="C244" t="s">
        <v>324</v>
      </c>
      <c r="D244">
        <v>3</v>
      </c>
      <c r="E244">
        <v>5</v>
      </c>
      <c r="F244">
        <v>8</v>
      </c>
      <c r="G244">
        <v>8</v>
      </c>
      <c r="H244">
        <v>28</v>
      </c>
      <c r="I244">
        <v>3</v>
      </c>
      <c r="J244">
        <v>5</v>
      </c>
      <c r="K244">
        <v>0</v>
      </c>
      <c r="L244">
        <v>0</v>
      </c>
      <c r="M244">
        <v>6</v>
      </c>
      <c r="N244">
        <v>0</v>
      </c>
      <c r="O244">
        <v>2</v>
      </c>
      <c r="P244">
        <v>0</v>
      </c>
      <c r="Q244">
        <v>3</v>
      </c>
      <c r="R244">
        <v>0</v>
      </c>
      <c r="S244">
        <v>0</v>
      </c>
      <c r="T244">
        <v>3</v>
      </c>
      <c r="U244">
        <v>1</v>
      </c>
      <c r="V244">
        <v>2</v>
      </c>
      <c r="W244">
        <v>0</v>
      </c>
      <c r="X244">
        <v>1</v>
      </c>
      <c r="Z244">
        <v>3</v>
      </c>
      <c r="AA244">
        <v>3</v>
      </c>
    </row>
    <row r="245" spans="1:27" x14ac:dyDescent="0.4">
      <c r="A245">
        <v>244</v>
      </c>
      <c r="B245">
        <v>244</v>
      </c>
      <c r="C245" t="s">
        <v>325</v>
      </c>
      <c r="D245">
        <v>3</v>
      </c>
      <c r="E245">
        <v>5</v>
      </c>
      <c r="F245">
        <v>8</v>
      </c>
      <c r="G245">
        <v>8</v>
      </c>
      <c r="H245">
        <v>28</v>
      </c>
      <c r="I245">
        <v>4</v>
      </c>
      <c r="J245">
        <v>8</v>
      </c>
      <c r="K245">
        <v>0</v>
      </c>
      <c r="L245">
        <v>0</v>
      </c>
      <c r="M245">
        <v>10</v>
      </c>
      <c r="N245">
        <v>0</v>
      </c>
      <c r="O245">
        <v>5</v>
      </c>
      <c r="P245">
        <v>0</v>
      </c>
      <c r="Q245">
        <v>4</v>
      </c>
      <c r="R245">
        <v>0</v>
      </c>
      <c r="S245">
        <v>0</v>
      </c>
      <c r="T245">
        <v>4</v>
      </c>
      <c r="U245">
        <v>1</v>
      </c>
      <c r="V245">
        <v>3</v>
      </c>
      <c r="W245">
        <v>0</v>
      </c>
      <c r="X245">
        <v>2</v>
      </c>
      <c r="Z245">
        <v>3</v>
      </c>
      <c r="AA245">
        <v>4</v>
      </c>
    </row>
    <row r="246" spans="1:27" x14ac:dyDescent="0.4">
      <c r="A246">
        <v>245</v>
      </c>
      <c r="B246">
        <v>245</v>
      </c>
      <c r="C246" t="s">
        <v>326</v>
      </c>
      <c r="D246">
        <v>1</v>
      </c>
      <c r="E246">
        <v>1</v>
      </c>
      <c r="F246">
        <v>3</v>
      </c>
      <c r="G246">
        <v>3</v>
      </c>
      <c r="H246">
        <v>0</v>
      </c>
      <c r="I246">
        <v>21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3</v>
      </c>
      <c r="T246">
        <v>4</v>
      </c>
      <c r="U246">
        <v>0</v>
      </c>
      <c r="V246">
        <v>20</v>
      </c>
      <c r="W246">
        <v>24</v>
      </c>
      <c r="X246">
        <v>3</v>
      </c>
      <c r="Z246">
        <v>0</v>
      </c>
      <c r="AA246">
        <v>0</v>
      </c>
    </row>
    <row r="247" spans="1:27" x14ac:dyDescent="0.4">
      <c r="A247">
        <v>246</v>
      </c>
      <c r="B247">
        <v>246</v>
      </c>
      <c r="C247" t="s">
        <v>327</v>
      </c>
      <c r="D247">
        <v>1</v>
      </c>
      <c r="E247">
        <v>1</v>
      </c>
      <c r="F247">
        <v>3</v>
      </c>
      <c r="G247">
        <v>3</v>
      </c>
      <c r="H247">
        <v>0</v>
      </c>
      <c r="I247">
        <v>22</v>
      </c>
      <c r="J247">
        <v>0</v>
      </c>
      <c r="K247">
        <v>2</v>
      </c>
      <c r="L247">
        <v>1</v>
      </c>
      <c r="M247">
        <v>0</v>
      </c>
      <c r="N247">
        <v>0</v>
      </c>
      <c r="O247">
        <v>0</v>
      </c>
      <c r="P247">
        <v>0</v>
      </c>
      <c r="Q247">
        <v>3</v>
      </c>
      <c r="R247">
        <v>0</v>
      </c>
      <c r="S247">
        <v>2</v>
      </c>
      <c r="T247">
        <v>5</v>
      </c>
      <c r="U247">
        <v>0</v>
      </c>
      <c r="V247">
        <v>21</v>
      </c>
      <c r="W247">
        <v>24</v>
      </c>
      <c r="X247">
        <v>4</v>
      </c>
      <c r="Z247">
        <v>0</v>
      </c>
      <c r="AA247">
        <v>0</v>
      </c>
    </row>
    <row r="248" spans="1:27" x14ac:dyDescent="0.4">
      <c r="A248">
        <v>247</v>
      </c>
      <c r="B248">
        <v>247</v>
      </c>
      <c r="C248" t="s">
        <v>328</v>
      </c>
      <c r="D248">
        <v>1</v>
      </c>
      <c r="E248">
        <v>2</v>
      </c>
      <c r="F248">
        <v>4</v>
      </c>
      <c r="G248">
        <v>4</v>
      </c>
      <c r="H248">
        <v>0</v>
      </c>
      <c r="I248">
        <v>6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</v>
      </c>
      <c r="R248">
        <v>0</v>
      </c>
      <c r="S248">
        <v>2</v>
      </c>
      <c r="T248">
        <v>3</v>
      </c>
      <c r="U248">
        <v>0</v>
      </c>
      <c r="V248">
        <v>2</v>
      </c>
      <c r="W248">
        <v>5</v>
      </c>
      <c r="X248">
        <v>0</v>
      </c>
      <c r="Z248">
        <v>0</v>
      </c>
      <c r="AA248">
        <v>0</v>
      </c>
    </row>
    <row r="249" spans="1:27" x14ac:dyDescent="0.4">
      <c r="A249">
        <v>248</v>
      </c>
      <c r="B249">
        <v>248</v>
      </c>
      <c r="C249" t="s">
        <v>329</v>
      </c>
      <c r="D249">
        <v>3</v>
      </c>
      <c r="E249">
        <v>5</v>
      </c>
      <c r="F249">
        <v>7</v>
      </c>
      <c r="G249">
        <v>7</v>
      </c>
      <c r="H249">
        <v>14</v>
      </c>
      <c r="I249">
        <v>0</v>
      </c>
      <c r="J249">
        <v>0</v>
      </c>
      <c r="K249">
        <v>2</v>
      </c>
      <c r="L249">
        <v>0</v>
      </c>
      <c r="M249">
        <v>2</v>
      </c>
      <c r="N249">
        <v>2</v>
      </c>
      <c r="O249">
        <v>0</v>
      </c>
      <c r="P249">
        <v>0</v>
      </c>
      <c r="Q249">
        <v>0</v>
      </c>
      <c r="R249">
        <v>4</v>
      </c>
      <c r="S249">
        <v>0</v>
      </c>
      <c r="T249">
        <v>2</v>
      </c>
      <c r="U249">
        <v>1</v>
      </c>
      <c r="V249">
        <v>2</v>
      </c>
      <c r="W249">
        <v>0</v>
      </c>
      <c r="X249">
        <v>1</v>
      </c>
      <c r="Z249">
        <v>4</v>
      </c>
      <c r="AA249">
        <v>4</v>
      </c>
    </row>
    <row r="250" spans="1:27" x14ac:dyDescent="0.4">
      <c r="A250">
        <v>249</v>
      </c>
      <c r="B250">
        <v>249</v>
      </c>
      <c r="C250" t="s">
        <v>330</v>
      </c>
      <c r="D250">
        <v>3</v>
      </c>
      <c r="E250">
        <v>5</v>
      </c>
      <c r="F250">
        <v>6</v>
      </c>
      <c r="G250">
        <v>6</v>
      </c>
      <c r="H250">
        <v>14</v>
      </c>
      <c r="I250">
        <v>1</v>
      </c>
      <c r="J250">
        <v>0</v>
      </c>
      <c r="K250">
        <v>3</v>
      </c>
      <c r="L250">
        <v>0</v>
      </c>
      <c r="M250">
        <v>2</v>
      </c>
      <c r="N250">
        <v>1</v>
      </c>
      <c r="O250">
        <v>1</v>
      </c>
      <c r="P250">
        <v>0</v>
      </c>
      <c r="Q250">
        <v>2</v>
      </c>
      <c r="R250">
        <v>0</v>
      </c>
      <c r="S250">
        <v>0</v>
      </c>
      <c r="T250">
        <v>2</v>
      </c>
      <c r="U250">
        <v>1</v>
      </c>
      <c r="V250">
        <v>2</v>
      </c>
      <c r="W250">
        <v>0</v>
      </c>
      <c r="X250">
        <v>2</v>
      </c>
      <c r="Z250">
        <v>4</v>
      </c>
      <c r="AA250">
        <v>5</v>
      </c>
    </row>
    <row r="251" spans="1:27" x14ac:dyDescent="0.4">
      <c r="A251">
        <v>250</v>
      </c>
      <c r="B251">
        <v>250</v>
      </c>
      <c r="C251" t="s">
        <v>331</v>
      </c>
      <c r="D251">
        <v>22</v>
      </c>
      <c r="E251">
        <v>39</v>
      </c>
      <c r="F251">
        <v>48</v>
      </c>
      <c r="G251">
        <v>44</v>
      </c>
      <c r="H251">
        <v>29</v>
      </c>
      <c r="I251">
        <v>1</v>
      </c>
      <c r="J251">
        <v>0</v>
      </c>
      <c r="K251">
        <v>7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2</v>
      </c>
      <c r="R251">
        <v>0</v>
      </c>
      <c r="S251">
        <v>0</v>
      </c>
      <c r="T251">
        <v>3</v>
      </c>
      <c r="U251">
        <v>1</v>
      </c>
      <c r="V251">
        <v>2</v>
      </c>
      <c r="W251">
        <v>0</v>
      </c>
      <c r="X251">
        <v>4</v>
      </c>
      <c r="Z251">
        <v>4</v>
      </c>
      <c r="AA251">
        <v>5</v>
      </c>
    </row>
    <row r="252" spans="1:27" x14ac:dyDescent="0.4">
      <c r="A252">
        <v>251</v>
      </c>
      <c r="B252">
        <v>251</v>
      </c>
      <c r="C252" t="s">
        <v>332</v>
      </c>
      <c r="D252">
        <v>22</v>
      </c>
      <c r="E252">
        <v>39</v>
      </c>
      <c r="F252">
        <v>48</v>
      </c>
      <c r="G252">
        <v>44</v>
      </c>
      <c r="H252">
        <v>29</v>
      </c>
      <c r="I252">
        <v>1</v>
      </c>
      <c r="J252">
        <v>0</v>
      </c>
      <c r="K252">
        <v>9</v>
      </c>
      <c r="L252">
        <v>0</v>
      </c>
      <c r="M252">
        <v>0</v>
      </c>
      <c r="N252">
        <v>2</v>
      </c>
      <c r="O252">
        <v>0</v>
      </c>
      <c r="P252">
        <v>0</v>
      </c>
      <c r="Q252">
        <v>3</v>
      </c>
      <c r="R252">
        <v>0</v>
      </c>
      <c r="S252">
        <v>0</v>
      </c>
      <c r="T252">
        <v>4</v>
      </c>
      <c r="U252">
        <v>1</v>
      </c>
      <c r="V252">
        <v>2</v>
      </c>
      <c r="W252">
        <v>0</v>
      </c>
      <c r="X252">
        <v>6</v>
      </c>
      <c r="Z252">
        <v>5</v>
      </c>
      <c r="AA252">
        <v>5</v>
      </c>
    </row>
    <row r="253" spans="1:27" x14ac:dyDescent="0.4">
      <c r="A253">
        <v>252</v>
      </c>
      <c r="B253">
        <v>252</v>
      </c>
      <c r="C253" t="s">
        <v>333</v>
      </c>
      <c r="D253">
        <v>3</v>
      </c>
      <c r="E253">
        <v>5</v>
      </c>
      <c r="F253">
        <v>6</v>
      </c>
      <c r="G253">
        <v>6</v>
      </c>
      <c r="H253">
        <v>29</v>
      </c>
      <c r="I253">
        <v>1</v>
      </c>
      <c r="J253">
        <v>0</v>
      </c>
      <c r="K253">
        <v>9</v>
      </c>
      <c r="L253">
        <v>1</v>
      </c>
      <c r="M253">
        <v>0</v>
      </c>
      <c r="N253">
        <v>2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4</v>
      </c>
      <c r="U253">
        <v>1</v>
      </c>
      <c r="V253">
        <v>2</v>
      </c>
      <c r="W253">
        <v>0</v>
      </c>
      <c r="X253">
        <v>6</v>
      </c>
      <c r="Z253">
        <v>4</v>
      </c>
      <c r="AA253">
        <v>6</v>
      </c>
    </row>
    <row r="254" spans="1:27" x14ac:dyDescent="0.4">
      <c r="A254">
        <v>253</v>
      </c>
      <c r="B254">
        <v>253</v>
      </c>
      <c r="C254" t="s">
        <v>334</v>
      </c>
      <c r="D254">
        <v>22</v>
      </c>
      <c r="E254">
        <v>39</v>
      </c>
      <c r="F254">
        <v>48</v>
      </c>
      <c r="G254">
        <v>44</v>
      </c>
      <c r="H254">
        <v>29</v>
      </c>
      <c r="I254">
        <v>1</v>
      </c>
      <c r="J254">
        <v>0</v>
      </c>
      <c r="K254">
        <v>10</v>
      </c>
      <c r="L254">
        <v>0</v>
      </c>
      <c r="M254">
        <v>0</v>
      </c>
      <c r="N254">
        <v>4</v>
      </c>
      <c r="O254">
        <v>0</v>
      </c>
      <c r="P254">
        <v>0</v>
      </c>
      <c r="Q254">
        <v>2</v>
      </c>
      <c r="R254">
        <v>0</v>
      </c>
      <c r="S254">
        <v>0</v>
      </c>
      <c r="T254">
        <v>5</v>
      </c>
      <c r="U254">
        <v>2</v>
      </c>
      <c r="V254">
        <v>2</v>
      </c>
      <c r="W254">
        <v>0</v>
      </c>
      <c r="X254">
        <v>7</v>
      </c>
      <c r="Z254">
        <v>4</v>
      </c>
      <c r="AA254">
        <v>6</v>
      </c>
    </row>
    <row r="255" spans="1:27" x14ac:dyDescent="0.4">
      <c r="A255">
        <v>254</v>
      </c>
      <c r="B255">
        <v>254</v>
      </c>
      <c r="C255" t="s">
        <v>335</v>
      </c>
      <c r="D255">
        <v>3</v>
      </c>
      <c r="E255">
        <v>5</v>
      </c>
      <c r="F255">
        <v>6</v>
      </c>
      <c r="G255">
        <v>45</v>
      </c>
      <c r="H255">
        <v>21</v>
      </c>
      <c r="I255">
        <v>0</v>
      </c>
      <c r="J255">
        <v>0</v>
      </c>
      <c r="K255">
        <v>8</v>
      </c>
      <c r="L255">
        <v>0</v>
      </c>
      <c r="M255">
        <v>4</v>
      </c>
      <c r="N255">
        <v>3</v>
      </c>
      <c r="O255">
        <v>2</v>
      </c>
      <c r="P255">
        <v>0</v>
      </c>
      <c r="Q255">
        <v>2</v>
      </c>
      <c r="R255">
        <v>0</v>
      </c>
      <c r="S255">
        <v>0</v>
      </c>
      <c r="T255">
        <v>4</v>
      </c>
      <c r="U255">
        <v>2</v>
      </c>
      <c r="V255">
        <v>3</v>
      </c>
      <c r="W255">
        <v>0</v>
      </c>
      <c r="X255">
        <v>5</v>
      </c>
      <c r="Z255">
        <v>5</v>
      </c>
      <c r="AA255">
        <v>9</v>
      </c>
    </row>
    <row r="256" spans="1:27" x14ac:dyDescent="0.4">
      <c r="A256">
        <v>255</v>
      </c>
      <c r="B256">
        <v>255</v>
      </c>
      <c r="C256" t="s">
        <v>336</v>
      </c>
      <c r="D256">
        <v>3</v>
      </c>
      <c r="E256">
        <v>5</v>
      </c>
      <c r="F256">
        <v>6</v>
      </c>
      <c r="G256">
        <v>45</v>
      </c>
      <c r="H256">
        <v>21</v>
      </c>
      <c r="I256">
        <v>0</v>
      </c>
      <c r="J256">
        <v>0</v>
      </c>
      <c r="K256">
        <v>10</v>
      </c>
      <c r="L256">
        <v>0</v>
      </c>
      <c r="M256">
        <v>5</v>
      </c>
      <c r="N256">
        <v>3</v>
      </c>
      <c r="O256">
        <v>3</v>
      </c>
      <c r="P256">
        <v>0</v>
      </c>
      <c r="Q256">
        <v>3</v>
      </c>
      <c r="R256">
        <v>0</v>
      </c>
      <c r="S256">
        <v>0</v>
      </c>
      <c r="T256">
        <v>5</v>
      </c>
      <c r="U256">
        <v>2</v>
      </c>
      <c r="V256">
        <v>4</v>
      </c>
      <c r="W256">
        <v>0</v>
      </c>
      <c r="X256">
        <v>6</v>
      </c>
      <c r="Z256">
        <v>5</v>
      </c>
      <c r="AA256">
        <v>9</v>
      </c>
    </row>
    <row r="257" spans="1:27" x14ac:dyDescent="0.4">
      <c r="A257">
        <v>256</v>
      </c>
      <c r="B257">
        <v>256</v>
      </c>
      <c r="C257" t="s">
        <v>337</v>
      </c>
      <c r="D257">
        <v>3</v>
      </c>
      <c r="E257">
        <v>5</v>
      </c>
      <c r="F257">
        <v>8</v>
      </c>
      <c r="G257">
        <v>8</v>
      </c>
      <c r="H257">
        <v>21</v>
      </c>
      <c r="I257">
        <v>2</v>
      </c>
      <c r="J257">
        <v>9</v>
      </c>
      <c r="K257">
        <v>1</v>
      </c>
      <c r="L257">
        <v>0</v>
      </c>
      <c r="M257">
        <v>6</v>
      </c>
      <c r="N257">
        <v>0</v>
      </c>
      <c r="O257">
        <v>2</v>
      </c>
      <c r="P257">
        <v>0</v>
      </c>
      <c r="Q257">
        <v>0</v>
      </c>
      <c r="R257">
        <v>0</v>
      </c>
      <c r="S257">
        <v>0</v>
      </c>
      <c r="T257">
        <v>3</v>
      </c>
      <c r="U257">
        <v>3</v>
      </c>
      <c r="V257">
        <v>6</v>
      </c>
      <c r="W257">
        <v>0</v>
      </c>
      <c r="X257">
        <v>11</v>
      </c>
      <c r="Z257">
        <v>6</v>
      </c>
      <c r="AA257">
        <v>10</v>
      </c>
    </row>
    <row r="258" spans="1:27" x14ac:dyDescent="0.4">
      <c r="A258">
        <v>257</v>
      </c>
      <c r="B258">
        <v>257</v>
      </c>
      <c r="C258" t="s">
        <v>338</v>
      </c>
      <c r="D258">
        <v>3</v>
      </c>
      <c r="E258">
        <v>5</v>
      </c>
      <c r="F258">
        <v>8</v>
      </c>
      <c r="G258">
        <v>46</v>
      </c>
      <c r="H258">
        <v>21</v>
      </c>
      <c r="I258">
        <v>2</v>
      </c>
      <c r="J258">
        <v>9</v>
      </c>
      <c r="K258">
        <v>1</v>
      </c>
      <c r="L258">
        <v>0</v>
      </c>
      <c r="M258">
        <v>8</v>
      </c>
      <c r="N258">
        <v>0</v>
      </c>
      <c r="O258">
        <v>4</v>
      </c>
      <c r="P258">
        <v>0</v>
      </c>
      <c r="Q258">
        <v>2</v>
      </c>
      <c r="R258">
        <v>0</v>
      </c>
      <c r="S258">
        <v>0</v>
      </c>
      <c r="T258">
        <v>4</v>
      </c>
      <c r="U258">
        <v>3</v>
      </c>
      <c r="V258">
        <v>7</v>
      </c>
      <c r="W258">
        <v>0</v>
      </c>
      <c r="X258">
        <v>12</v>
      </c>
      <c r="Z258">
        <v>6</v>
      </c>
      <c r="AA258">
        <v>11</v>
      </c>
    </row>
    <row r="259" spans="1:27" x14ac:dyDescent="0.4">
      <c r="A259">
        <v>258</v>
      </c>
      <c r="B259">
        <v>258</v>
      </c>
      <c r="C259" t="s">
        <v>339</v>
      </c>
      <c r="D259">
        <v>13</v>
      </c>
      <c r="E259">
        <v>23</v>
      </c>
      <c r="F259">
        <v>35</v>
      </c>
      <c r="G259">
        <v>29</v>
      </c>
      <c r="H259">
        <v>0</v>
      </c>
      <c r="I259">
        <v>1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2</v>
      </c>
      <c r="T259">
        <v>3</v>
      </c>
      <c r="U259">
        <v>1</v>
      </c>
      <c r="V259">
        <v>10</v>
      </c>
      <c r="W259">
        <v>1</v>
      </c>
      <c r="X259">
        <v>10</v>
      </c>
      <c r="Z259">
        <v>0</v>
      </c>
      <c r="AA259">
        <v>0</v>
      </c>
    </row>
    <row r="260" spans="1:27" x14ac:dyDescent="0.4">
      <c r="A260">
        <v>259</v>
      </c>
      <c r="B260">
        <v>259</v>
      </c>
      <c r="C260" t="s">
        <v>340</v>
      </c>
      <c r="D260">
        <v>13</v>
      </c>
      <c r="E260">
        <v>23</v>
      </c>
      <c r="F260">
        <v>35</v>
      </c>
      <c r="G260">
        <v>29</v>
      </c>
      <c r="H260">
        <v>0</v>
      </c>
      <c r="I260">
        <v>3</v>
      </c>
      <c r="J260">
        <v>0</v>
      </c>
      <c r="K260">
        <v>0</v>
      </c>
      <c r="L260">
        <v>1</v>
      </c>
      <c r="M260">
        <v>0</v>
      </c>
      <c r="N260">
        <v>1</v>
      </c>
      <c r="O260">
        <v>0</v>
      </c>
      <c r="P260">
        <v>0</v>
      </c>
      <c r="Q260">
        <v>2</v>
      </c>
      <c r="R260">
        <v>0</v>
      </c>
      <c r="S260">
        <v>3</v>
      </c>
      <c r="T260">
        <v>4</v>
      </c>
      <c r="U260">
        <v>1</v>
      </c>
      <c r="V260">
        <v>10</v>
      </c>
      <c r="W260">
        <v>1</v>
      </c>
      <c r="X260">
        <v>10</v>
      </c>
      <c r="Z260">
        <v>0</v>
      </c>
      <c r="AA260">
        <v>0</v>
      </c>
    </row>
    <row r="261" spans="1:27" x14ac:dyDescent="0.4">
      <c r="A261">
        <v>260</v>
      </c>
      <c r="B261">
        <v>260</v>
      </c>
      <c r="C261" t="s">
        <v>341</v>
      </c>
      <c r="D261">
        <v>7</v>
      </c>
      <c r="E261">
        <v>10</v>
      </c>
      <c r="F261">
        <v>14</v>
      </c>
      <c r="G261">
        <v>18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11</v>
      </c>
      <c r="N261">
        <v>1</v>
      </c>
      <c r="O261">
        <v>0</v>
      </c>
      <c r="P261">
        <v>0</v>
      </c>
      <c r="Q261">
        <v>2</v>
      </c>
      <c r="R261">
        <v>0</v>
      </c>
      <c r="S261">
        <v>0</v>
      </c>
      <c r="T261">
        <v>3</v>
      </c>
      <c r="U261">
        <v>0</v>
      </c>
      <c r="V261">
        <v>0</v>
      </c>
      <c r="W261">
        <v>1</v>
      </c>
      <c r="X261">
        <v>4</v>
      </c>
      <c r="Z261">
        <v>0</v>
      </c>
      <c r="AA261">
        <v>0</v>
      </c>
    </row>
    <row r="262" spans="1:27" x14ac:dyDescent="0.4">
      <c r="A262">
        <v>261</v>
      </c>
      <c r="B262">
        <v>261</v>
      </c>
      <c r="C262" t="s">
        <v>342</v>
      </c>
      <c r="D262">
        <v>7</v>
      </c>
      <c r="E262">
        <v>10</v>
      </c>
      <c r="F262">
        <v>14</v>
      </c>
      <c r="G262">
        <v>18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13</v>
      </c>
      <c r="N262">
        <v>1</v>
      </c>
      <c r="O262">
        <v>0</v>
      </c>
      <c r="P262">
        <v>0</v>
      </c>
      <c r="Q262">
        <v>3</v>
      </c>
      <c r="R262">
        <v>0</v>
      </c>
      <c r="S262">
        <v>0</v>
      </c>
      <c r="T262">
        <v>4</v>
      </c>
      <c r="U262">
        <v>0</v>
      </c>
      <c r="V262">
        <v>0</v>
      </c>
      <c r="W262">
        <v>1</v>
      </c>
      <c r="X262">
        <v>5</v>
      </c>
      <c r="Z262">
        <v>0</v>
      </c>
      <c r="AA262">
        <v>0</v>
      </c>
    </row>
    <row r="263" spans="1:27" x14ac:dyDescent="0.4">
      <c r="A263">
        <v>262</v>
      </c>
      <c r="B263">
        <v>262</v>
      </c>
      <c r="C263" t="s">
        <v>343</v>
      </c>
      <c r="D263">
        <v>7</v>
      </c>
      <c r="E263">
        <v>10</v>
      </c>
      <c r="F263">
        <v>14</v>
      </c>
      <c r="G263">
        <v>18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15</v>
      </c>
      <c r="N263">
        <v>2</v>
      </c>
      <c r="O263">
        <v>2</v>
      </c>
      <c r="P263">
        <v>0</v>
      </c>
      <c r="Q263">
        <v>3</v>
      </c>
      <c r="R263">
        <v>0</v>
      </c>
      <c r="S263">
        <v>0</v>
      </c>
      <c r="T263">
        <v>5</v>
      </c>
      <c r="U263">
        <v>0</v>
      </c>
      <c r="V263">
        <v>0</v>
      </c>
      <c r="W263">
        <v>1</v>
      </c>
      <c r="X263">
        <v>6</v>
      </c>
      <c r="Z263">
        <v>0</v>
      </c>
      <c r="AA263">
        <v>0</v>
      </c>
    </row>
    <row r="264" spans="1:27" x14ac:dyDescent="0.4">
      <c r="A264">
        <v>263</v>
      </c>
      <c r="B264">
        <v>263</v>
      </c>
      <c r="C264" t="s">
        <v>344</v>
      </c>
      <c r="D264">
        <v>22</v>
      </c>
      <c r="E264">
        <v>39</v>
      </c>
      <c r="F264">
        <v>48</v>
      </c>
      <c r="G264">
        <v>38</v>
      </c>
      <c r="H264">
        <v>12</v>
      </c>
      <c r="I264">
        <v>0</v>
      </c>
      <c r="J264">
        <v>0</v>
      </c>
      <c r="K264">
        <v>11</v>
      </c>
      <c r="L264">
        <v>2</v>
      </c>
      <c r="M264">
        <v>0</v>
      </c>
      <c r="N264">
        <v>4</v>
      </c>
      <c r="O264">
        <v>0</v>
      </c>
      <c r="P264">
        <v>0</v>
      </c>
      <c r="Q264">
        <v>2</v>
      </c>
      <c r="R264">
        <v>0</v>
      </c>
      <c r="S264">
        <v>0</v>
      </c>
      <c r="T264">
        <v>4</v>
      </c>
      <c r="U264">
        <v>2</v>
      </c>
      <c r="V264">
        <v>4</v>
      </c>
      <c r="W264">
        <v>0</v>
      </c>
      <c r="X264">
        <v>8</v>
      </c>
      <c r="Z264">
        <v>4</v>
      </c>
      <c r="AA264">
        <v>6</v>
      </c>
    </row>
    <row r="265" spans="1:27" x14ac:dyDescent="0.4">
      <c r="A265">
        <v>266</v>
      </c>
      <c r="B265">
        <v>266</v>
      </c>
      <c r="C265" t="s">
        <v>345</v>
      </c>
      <c r="D265">
        <v>1</v>
      </c>
      <c r="E265">
        <v>1</v>
      </c>
      <c r="F265">
        <v>1</v>
      </c>
      <c r="G265">
        <v>1</v>
      </c>
      <c r="H265">
        <v>0</v>
      </c>
      <c r="I265">
        <v>3</v>
      </c>
      <c r="J265">
        <v>0</v>
      </c>
      <c r="K265">
        <v>2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1</v>
      </c>
      <c r="T265">
        <v>2</v>
      </c>
      <c r="U265">
        <v>0</v>
      </c>
      <c r="V265">
        <v>1</v>
      </c>
      <c r="W265">
        <v>2</v>
      </c>
      <c r="X265">
        <v>0</v>
      </c>
      <c r="Z265">
        <v>0</v>
      </c>
      <c r="AA265">
        <v>0</v>
      </c>
    </row>
    <row r="266" spans="1:27" x14ac:dyDescent="0.4">
      <c r="A266">
        <v>267</v>
      </c>
      <c r="B266">
        <v>267</v>
      </c>
      <c r="C266" t="s">
        <v>346</v>
      </c>
      <c r="D266">
        <v>1</v>
      </c>
      <c r="E266">
        <v>1</v>
      </c>
      <c r="F266">
        <v>1</v>
      </c>
      <c r="G266">
        <v>1</v>
      </c>
      <c r="H266">
        <v>0</v>
      </c>
      <c r="I266">
        <v>3</v>
      </c>
      <c r="J266">
        <v>0</v>
      </c>
      <c r="K266">
        <v>4</v>
      </c>
      <c r="L266">
        <v>1</v>
      </c>
      <c r="M266">
        <v>0</v>
      </c>
      <c r="N266">
        <v>1</v>
      </c>
      <c r="O266">
        <v>0</v>
      </c>
      <c r="P266">
        <v>0</v>
      </c>
      <c r="Q266">
        <v>2</v>
      </c>
      <c r="R266">
        <v>0</v>
      </c>
      <c r="S266">
        <v>1</v>
      </c>
      <c r="T266">
        <v>3</v>
      </c>
      <c r="U266">
        <v>0</v>
      </c>
      <c r="V266">
        <v>2</v>
      </c>
      <c r="W266">
        <v>2</v>
      </c>
      <c r="X266">
        <v>1</v>
      </c>
      <c r="Z266">
        <v>0</v>
      </c>
      <c r="AA266">
        <v>0</v>
      </c>
    </row>
    <row r="267" spans="1:27" x14ac:dyDescent="0.4">
      <c r="A267">
        <v>268</v>
      </c>
      <c r="B267">
        <v>268</v>
      </c>
      <c r="C267" t="s">
        <v>347</v>
      </c>
      <c r="D267">
        <v>6</v>
      </c>
      <c r="E267">
        <v>17</v>
      </c>
      <c r="F267">
        <v>27</v>
      </c>
      <c r="G267">
        <v>23</v>
      </c>
      <c r="H267">
        <v>0</v>
      </c>
      <c r="I267">
        <v>0</v>
      </c>
      <c r="J267">
        <v>0</v>
      </c>
      <c r="K267">
        <v>0</v>
      </c>
      <c r="L267">
        <v>2</v>
      </c>
      <c r="M267">
        <v>0</v>
      </c>
      <c r="N267">
        <v>2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3</v>
      </c>
      <c r="U267">
        <v>1</v>
      </c>
      <c r="V267">
        <v>0</v>
      </c>
      <c r="W267">
        <v>3</v>
      </c>
      <c r="X267">
        <v>1</v>
      </c>
      <c r="Z267">
        <v>0</v>
      </c>
      <c r="AA267">
        <v>0</v>
      </c>
    </row>
    <row r="268" spans="1:27" x14ac:dyDescent="0.4">
      <c r="A268">
        <v>269</v>
      </c>
      <c r="B268">
        <v>269</v>
      </c>
      <c r="C268" t="s">
        <v>348</v>
      </c>
      <c r="D268">
        <v>21</v>
      </c>
      <c r="E268">
        <v>38</v>
      </c>
      <c r="F268">
        <v>47</v>
      </c>
      <c r="G268">
        <v>47</v>
      </c>
      <c r="H268">
        <v>30</v>
      </c>
      <c r="I268">
        <v>0</v>
      </c>
      <c r="J268">
        <v>0</v>
      </c>
      <c r="K268">
        <v>0</v>
      </c>
      <c r="L268">
        <v>0</v>
      </c>
      <c r="M268">
        <v>10</v>
      </c>
      <c r="N268">
        <v>0</v>
      </c>
      <c r="O268">
        <v>5</v>
      </c>
      <c r="P268">
        <v>0</v>
      </c>
      <c r="Q268">
        <v>0</v>
      </c>
      <c r="R268">
        <v>2</v>
      </c>
      <c r="S268">
        <v>0</v>
      </c>
      <c r="T268">
        <v>3</v>
      </c>
      <c r="U268">
        <v>3</v>
      </c>
      <c r="V268">
        <v>3</v>
      </c>
      <c r="W268">
        <v>0</v>
      </c>
      <c r="X268">
        <v>12</v>
      </c>
      <c r="Z268">
        <v>8</v>
      </c>
      <c r="AA268">
        <v>9</v>
      </c>
    </row>
    <row r="269" spans="1:27" x14ac:dyDescent="0.4">
      <c r="A269">
        <v>270</v>
      </c>
      <c r="B269">
        <v>270</v>
      </c>
      <c r="C269" t="s">
        <v>349</v>
      </c>
      <c r="D269">
        <v>21</v>
      </c>
      <c r="E269">
        <v>38</v>
      </c>
      <c r="F269">
        <v>47</v>
      </c>
      <c r="G269">
        <v>47</v>
      </c>
      <c r="H269">
        <v>30</v>
      </c>
      <c r="I269">
        <v>0</v>
      </c>
      <c r="J269">
        <v>0</v>
      </c>
      <c r="K269">
        <v>0</v>
      </c>
      <c r="L269">
        <v>0</v>
      </c>
      <c r="M269">
        <v>11</v>
      </c>
      <c r="N269">
        <v>0</v>
      </c>
      <c r="O269">
        <v>6</v>
      </c>
      <c r="P269">
        <v>0</v>
      </c>
      <c r="Q269">
        <v>1</v>
      </c>
      <c r="R269">
        <v>2</v>
      </c>
      <c r="S269">
        <v>0</v>
      </c>
      <c r="T269">
        <v>4</v>
      </c>
      <c r="U269">
        <v>4</v>
      </c>
      <c r="V269">
        <v>3</v>
      </c>
      <c r="W269">
        <v>0</v>
      </c>
      <c r="X269">
        <v>13</v>
      </c>
      <c r="Z269">
        <v>8</v>
      </c>
      <c r="AA269">
        <v>9</v>
      </c>
    </row>
    <row r="270" spans="1:27" x14ac:dyDescent="0.4">
      <c r="A270">
        <v>271</v>
      </c>
      <c r="B270">
        <v>271</v>
      </c>
      <c r="C270" t="s">
        <v>350</v>
      </c>
      <c r="D270">
        <v>3</v>
      </c>
      <c r="E270">
        <v>5</v>
      </c>
      <c r="F270">
        <v>6</v>
      </c>
      <c r="G270">
        <v>6</v>
      </c>
      <c r="H270">
        <v>12</v>
      </c>
      <c r="I270">
        <v>0</v>
      </c>
      <c r="J270">
        <v>0</v>
      </c>
      <c r="K270">
        <v>10</v>
      </c>
      <c r="L270">
        <v>1</v>
      </c>
      <c r="M270">
        <v>0</v>
      </c>
      <c r="N270">
        <v>3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4</v>
      </c>
      <c r="U270">
        <v>2</v>
      </c>
      <c r="V270">
        <v>4</v>
      </c>
      <c r="W270">
        <v>0</v>
      </c>
      <c r="X270">
        <v>8</v>
      </c>
      <c r="Z270">
        <v>4</v>
      </c>
      <c r="AA270">
        <v>7</v>
      </c>
    </row>
    <row r="271" spans="1:27" x14ac:dyDescent="0.4">
      <c r="A271">
        <v>272</v>
      </c>
      <c r="B271">
        <v>272</v>
      </c>
      <c r="C271" t="s">
        <v>351</v>
      </c>
      <c r="D271">
        <v>12</v>
      </c>
      <c r="E271">
        <v>22</v>
      </c>
      <c r="F271">
        <v>34</v>
      </c>
      <c r="G271">
        <v>28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1</v>
      </c>
      <c r="O271">
        <v>1</v>
      </c>
      <c r="P271">
        <v>0</v>
      </c>
      <c r="Q271">
        <v>1</v>
      </c>
      <c r="R271">
        <v>0</v>
      </c>
      <c r="S271">
        <v>0</v>
      </c>
      <c r="T271">
        <v>5</v>
      </c>
      <c r="U271">
        <v>2</v>
      </c>
      <c r="V271">
        <v>1</v>
      </c>
      <c r="W271">
        <v>1</v>
      </c>
      <c r="X271">
        <v>1</v>
      </c>
      <c r="Z271">
        <v>0</v>
      </c>
      <c r="AA271">
        <v>0</v>
      </c>
    </row>
    <row r="272" spans="1:27" x14ac:dyDescent="0.4">
      <c r="A272">
        <v>273</v>
      </c>
      <c r="B272">
        <v>273</v>
      </c>
      <c r="C272" t="s">
        <v>352</v>
      </c>
      <c r="D272">
        <v>5</v>
      </c>
      <c r="E272">
        <v>7</v>
      </c>
      <c r="F272">
        <v>9</v>
      </c>
      <c r="G272">
        <v>9</v>
      </c>
      <c r="H272">
        <v>1</v>
      </c>
      <c r="I272">
        <v>0</v>
      </c>
      <c r="J272">
        <v>0</v>
      </c>
      <c r="K272">
        <v>2</v>
      </c>
      <c r="L272">
        <v>0</v>
      </c>
      <c r="M272">
        <v>0</v>
      </c>
      <c r="N272">
        <v>0</v>
      </c>
      <c r="O272">
        <v>10</v>
      </c>
      <c r="P272">
        <v>0</v>
      </c>
      <c r="Q272">
        <v>2</v>
      </c>
      <c r="R272">
        <v>0</v>
      </c>
      <c r="S272">
        <v>0</v>
      </c>
      <c r="T272">
        <v>4</v>
      </c>
      <c r="U272">
        <v>2</v>
      </c>
      <c r="V272">
        <v>0</v>
      </c>
      <c r="W272">
        <v>0</v>
      </c>
      <c r="X272">
        <v>11</v>
      </c>
      <c r="Z272">
        <v>7</v>
      </c>
      <c r="AA272">
        <v>9</v>
      </c>
    </row>
    <row r="273" spans="1:27" x14ac:dyDescent="0.4">
      <c r="A273">
        <v>274</v>
      </c>
      <c r="B273">
        <v>274</v>
      </c>
      <c r="C273" t="s">
        <v>353</v>
      </c>
      <c r="D273">
        <v>4</v>
      </c>
      <c r="E273">
        <v>29</v>
      </c>
      <c r="F273">
        <v>21</v>
      </c>
      <c r="G273">
        <v>15</v>
      </c>
      <c r="H273">
        <v>0</v>
      </c>
      <c r="I273">
        <v>0</v>
      </c>
      <c r="J273">
        <v>0</v>
      </c>
      <c r="K273">
        <v>8</v>
      </c>
      <c r="L273">
        <v>1</v>
      </c>
      <c r="M273">
        <v>0</v>
      </c>
      <c r="N273">
        <v>3</v>
      </c>
      <c r="O273">
        <v>0</v>
      </c>
      <c r="P273">
        <v>0</v>
      </c>
      <c r="Q273">
        <v>1</v>
      </c>
      <c r="R273">
        <v>0</v>
      </c>
      <c r="S273">
        <v>0</v>
      </c>
      <c r="T273">
        <v>4</v>
      </c>
      <c r="U273">
        <v>0</v>
      </c>
      <c r="V273">
        <v>5</v>
      </c>
      <c r="W273">
        <v>2</v>
      </c>
      <c r="X273">
        <v>3</v>
      </c>
      <c r="Z273">
        <v>0</v>
      </c>
      <c r="AA273">
        <v>0</v>
      </c>
    </row>
    <row r="274" spans="1:27" x14ac:dyDescent="0.4">
      <c r="A274">
        <v>275</v>
      </c>
      <c r="B274">
        <v>275</v>
      </c>
      <c r="C274" t="s">
        <v>354</v>
      </c>
      <c r="D274">
        <v>1</v>
      </c>
      <c r="E274">
        <v>2</v>
      </c>
      <c r="F274">
        <v>4</v>
      </c>
      <c r="G274">
        <v>16</v>
      </c>
      <c r="H274">
        <v>0</v>
      </c>
      <c r="I274">
        <v>2</v>
      </c>
      <c r="J274">
        <v>0</v>
      </c>
      <c r="K274">
        <v>9</v>
      </c>
      <c r="L274">
        <v>1</v>
      </c>
      <c r="M274">
        <v>0</v>
      </c>
      <c r="N274">
        <v>1</v>
      </c>
      <c r="O274">
        <v>0</v>
      </c>
      <c r="P274">
        <v>0</v>
      </c>
      <c r="Q274">
        <v>2</v>
      </c>
      <c r="R274">
        <v>0</v>
      </c>
      <c r="S274">
        <v>1</v>
      </c>
      <c r="T274">
        <v>4</v>
      </c>
      <c r="U274">
        <v>0</v>
      </c>
      <c r="V274">
        <v>3</v>
      </c>
      <c r="W274">
        <v>4</v>
      </c>
      <c r="X274">
        <v>2</v>
      </c>
      <c r="Z274">
        <v>0</v>
      </c>
      <c r="AA274">
        <v>0</v>
      </c>
    </row>
    <row r="275" spans="1:27" x14ac:dyDescent="0.4">
      <c r="A275">
        <v>276</v>
      </c>
      <c r="B275">
        <v>276</v>
      </c>
      <c r="C275" t="s">
        <v>355</v>
      </c>
      <c r="D275">
        <v>1</v>
      </c>
      <c r="E275">
        <v>1</v>
      </c>
      <c r="F275">
        <v>3</v>
      </c>
      <c r="G275">
        <v>3</v>
      </c>
      <c r="H275">
        <v>0</v>
      </c>
      <c r="I275">
        <v>27</v>
      </c>
      <c r="J275">
        <v>0</v>
      </c>
      <c r="K275">
        <v>6</v>
      </c>
      <c r="L275">
        <v>2</v>
      </c>
      <c r="M275">
        <v>0</v>
      </c>
      <c r="N275">
        <v>0</v>
      </c>
      <c r="O275">
        <v>0</v>
      </c>
      <c r="P275">
        <v>0</v>
      </c>
      <c r="Q275">
        <v>2</v>
      </c>
      <c r="R275">
        <v>0</v>
      </c>
      <c r="S275">
        <v>4</v>
      </c>
      <c r="T275">
        <v>4</v>
      </c>
      <c r="U275">
        <v>0</v>
      </c>
      <c r="V275">
        <v>25</v>
      </c>
      <c r="W275">
        <v>26</v>
      </c>
      <c r="X275">
        <v>2</v>
      </c>
      <c r="Z275">
        <v>0</v>
      </c>
      <c r="AA275">
        <v>0</v>
      </c>
    </row>
    <row r="276" spans="1:27" x14ac:dyDescent="0.4">
      <c r="A276">
        <v>277</v>
      </c>
      <c r="B276">
        <v>277</v>
      </c>
      <c r="C276" t="s">
        <v>356</v>
      </c>
      <c r="D276">
        <v>3</v>
      </c>
      <c r="E276">
        <v>5</v>
      </c>
      <c r="F276">
        <v>7</v>
      </c>
      <c r="G276">
        <v>7</v>
      </c>
      <c r="H276">
        <v>21</v>
      </c>
      <c r="I276">
        <v>2</v>
      </c>
      <c r="J276">
        <v>0</v>
      </c>
      <c r="K276">
        <v>6</v>
      </c>
      <c r="L276">
        <v>0</v>
      </c>
      <c r="M276">
        <v>1</v>
      </c>
      <c r="N276">
        <v>2</v>
      </c>
      <c r="O276">
        <v>0</v>
      </c>
      <c r="P276">
        <v>0</v>
      </c>
      <c r="Q276">
        <v>2</v>
      </c>
      <c r="R276">
        <v>2</v>
      </c>
      <c r="S276">
        <v>0</v>
      </c>
      <c r="T276">
        <v>4</v>
      </c>
      <c r="U276">
        <v>1</v>
      </c>
      <c r="V276">
        <v>3</v>
      </c>
      <c r="W276">
        <v>0</v>
      </c>
      <c r="X276">
        <v>3</v>
      </c>
      <c r="Z276">
        <v>4</v>
      </c>
      <c r="AA276">
        <v>6</v>
      </c>
    </row>
    <row r="277" spans="1:27" x14ac:dyDescent="0.4">
      <c r="A277">
        <v>278</v>
      </c>
      <c r="B277">
        <v>278</v>
      </c>
      <c r="C277" t="s">
        <v>357</v>
      </c>
      <c r="D277">
        <v>5</v>
      </c>
      <c r="E277">
        <v>8</v>
      </c>
      <c r="F277">
        <v>13</v>
      </c>
      <c r="G277">
        <v>11</v>
      </c>
      <c r="H277">
        <v>0</v>
      </c>
      <c r="I277">
        <v>0</v>
      </c>
      <c r="J277">
        <v>0</v>
      </c>
      <c r="K277">
        <v>8</v>
      </c>
      <c r="L277">
        <v>0</v>
      </c>
      <c r="M277">
        <v>0</v>
      </c>
      <c r="N277">
        <v>2</v>
      </c>
      <c r="O277">
        <v>10</v>
      </c>
      <c r="P277">
        <v>0</v>
      </c>
      <c r="Q277">
        <v>1</v>
      </c>
      <c r="R277">
        <v>0</v>
      </c>
      <c r="S277">
        <v>0</v>
      </c>
      <c r="T277">
        <v>3</v>
      </c>
      <c r="U277">
        <v>0</v>
      </c>
      <c r="V277">
        <v>0</v>
      </c>
      <c r="W277">
        <v>21</v>
      </c>
      <c r="X277">
        <v>25</v>
      </c>
      <c r="Z277">
        <v>0</v>
      </c>
      <c r="AA277">
        <v>0</v>
      </c>
    </row>
    <row r="278" spans="1:27" x14ac:dyDescent="0.4">
      <c r="A278">
        <v>279</v>
      </c>
      <c r="B278">
        <v>279</v>
      </c>
      <c r="C278" t="s">
        <v>358</v>
      </c>
      <c r="D278">
        <v>5</v>
      </c>
      <c r="E278">
        <v>8</v>
      </c>
      <c r="F278">
        <v>13</v>
      </c>
      <c r="G278">
        <v>11</v>
      </c>
      <c r="H278">
        <v>0</v>
      </c>
      <c r="I278">
        <v>1</v>
      </c>
      <c r="J278">
        <v>0</v>
      </c>
      <c r="K278">
        <v>9</v>
      </c>
      <c r="L278">
        <v>0</v>
      </c>
      <c r="M278">
        <v>0</v>
      </c>
      <c r="N278">
        <v>4</v>
      </c>
      <c r="O278">
        <v>12</v>
      </c>
      <c r="P278">
        <v>0</v>
      </c>
      <c r="Q278">
        <v>4</v>
      </c>
      <c r="R278">
        <v>0</v>
      </c>
      <c r="S278">
        <v>2</v>
      </c>
      <c r="T278">
        <v>4</v>
      </c>
      <c r="U278">
        <v>0</v>
      </c>
      <c r="V278">
        <v>0</v>
      </c>
      <c r="W278">
        <v>22</v>
      </c>
      <c r="X278">
        <v>27</v>
      </c>
      <c r="Z278">
        <v>0</v>
      </c>
      <c r="AA278">
        <v>0</v>
      </c>
    </row>
    <row r="279" spans="1:27" x14ac:dyDescent="0.4">
      <c r="A279">
        <v>280</v>
      </c>
      <c r="B279">
        <v>280</v>
      </c>
      <c r="C279" t="s">
        <v>359</v>
      </c>
      <c r="D279">
        <v>1</v>
      </c>
      <c r="E279">
        <v>1</v>
      </c>
      <c r="F279">
        <v>1</v>
      </c>
      <c r="G279">
        <v>1</v>
      </c>
      <c r="H279">
        <v>0</v>
      </c>
      <c r="I279">
        <v>3</v>
      </c>
      <c r="J279">
        <v>0</v>
      </c>
      <c r="K279">
        <v>3</v>
      </c>
      <c r="L279">
        <v>0</v>
      </c>
      <c r="M279">
        <v>1</v>
      </c>
      <c r="N279">
        <v>1</v>
      </c>
      <c r="O279">
        <v>0</v>
      </c>
      <c r="P279">
        <v>0</v>
      </c>
      <c r="Q279">
        <v>1</v>
      </c>
      <c r="R279">
        <v>0</v>
      </c>
      <c r="S279">
        <v>1</v>
      </c>
      <c r="T279">
        <v>3</v>
      </c>
      <c r="U279">
        <v>0</v>
      </c>
      <c r="V279">
        <v>2</v>
      </c>
      <c r="W279">
        <v>2</v>
      </c>
      <c r="X279">
        <v>1</v>
      </c>
      <c r="Z279">
        <v>0</v>
      </c>
      <c r="AA279">
        <v>0</v>
      </c>
    </row>
    <row r="280" spans="1:27" x14ac:dyDescent="0.4">
      <c r="A280">
        <v>281</v>
      </c>
      <c r="B280">
        <v>281</v>
      </c>
      <c r="C280" t="s">
        <v>360</v>
      </c>
      <c r="D280">
        <v>1</v>
      </c>
      <c r="E280">
        <v>1</v>
      </c>
      <c r="F280">
        <v>3</v>
      </c>
      <c r="G280">
        <v>3</v>
      </c>
      <c r="H280">
        <v>0</v>
      </c>
      <c r="I280">
        <v>32</v>
      </c>
      <c r="J280">
        <v>0</v>
      </c>
      <c r="K280">
        <v>5</v>
      </c>
      <c r="L280">
        <v>2</v>
      </c>
      <c r="M280">
        <v>0</v>
      </c>
      <c r="N280">
        <v>-1</v>
      </c>
      <c r="O280">
        <v>0</v>
      </c>
      <c r="P280">
        <v>0</v>
      </c>
      <c r="Q280">
        <v>1</v>
      </c>
      <c r="R280">
        <v>0</v>
      </c>
      <c r="S280">
        <v>4</v>
      </c>
      <c r="T280">
        <v>5</v>
      </c>
      <c r="U280">
        <v>0</v>
      </c>
      <c r="V280">
        <v>30</v>
      </c>
      <c r="W280">
        <v>28</v>
      </c>
      <c r="X280">
        <v>0</v>
      </c>
      <c r="Z280">
        <v>0</v>
      </c>
      <c r="AA280">
        <v>0</v>
      </c>
    </row>
    <row r="281" spans="1:27" x14ac:dyDescent="0.4">
      <c r="A281">
        <v>282</v>
      </c>
      <c r="B281">
        <v>282</v>
      </c>
      <c r="C281" t="s">
        <v>361</v>
      </c>
      <c r="D281">
        <v>1</v>
      </c>
      <c r="E281">
        <v>1</v>
      </c>
      <c r="F281">
        <v>1</v>
      </c>
      <c r="G281">
        <v>1</v>
      </c>
      <c r="H281">
        <v>0</v>
      </c>
      <c r="I281">
        <v>4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1</v>
      </c>
      <c r="T281">
        <v>3</v>
      </c>
      <c r="U281">
        <v>0</v>
      </c>
      <c r="V281">
        <v>2</v>
      </c>
      <c r="W281">
        <v>3</v>
      </c>
      <c r="X281">
        <v>0</v>
      </c>
      <c r="Z281">
        <v>0</v>
      </c>
      <c r="AA281">
        <v>0</v>
      </c>
    </row>
    <row r="282" spans="1:27" x14ac:dyDescent="0.4">
      <c r="A282">
        <v>283</v>
      </c>
      <c r="B282">
        <v>283</v>
      </c>
      <c r="C282" t="s">
        <v>362</v>
      </c>
      <c r="D282">
        <v>2</v>
      </c>
      <c r="E282">
        <v>3</v>
      </c>
      <c r="F282">
        <v>5</v>
      </c>
      <c r="G282">
        <v>5</v>
      </c>
      <c r="H282">
        <v>0</v>
      </c>
      <c r="I282">
        <v>1</v>
      </c>
      <c r="J282">
        <v>5</v>
      </c>
      <c r="K282">
        <v>0</v>
      </c>
      <c r="L282">
        <v>0</v>
      </c>
      <c r="M282">
        <v>0</v>
      </c>
      <c r="N282">
        <v>1</v>
      </c>
      <c r="O282">
        <v>0</v>
      </c>
      <c r="P282">
        <v>0</v>
      </c>
      <c r="Q282">
        <v>0</v>
      </c>
      <c r="R282">
        <v>0</v>
      </c>
      <c r="S282">
        <v>1</v>
      </c>
      <c r="T282">
        <v>2</v>
      </c>
      <c r="U282">
        <v>1</v>
      </c>
      <c r="V282">
        <v>1</v>
      </c>
      <c r="W282">
        <v>1</v>
      </c>
      <c r="X282">
        <v>0</v>
      </c>
      <c r="Z282">
        <v>0</v>
      </c>
      <c r="AA282">
        <v>0</v>
      </c>
    </row>
    <row r="283" spans="1:27" x14ac:dyDescent="0.4">
      <c r="A283">
        <v>284</v>
      </c>
      <c r="B283">
        <v>284</v>
      </c>
      <c r="C283" t="s">
        <v>363</v>
      </c>
      <c r="D283">
        <v>1</v>
      </c>
      <c r="E283">
        <v>1</v>
      </c>
      <c r="F283">
        <v>1</v>
      </c>
      <c r="G283">
        <v>16</v>
      </c>
      <c r="H283">
        <v>0</v>
      </c>
      <c r="I283">
        <v>2</v>
      </c>
      <c r="J283">
        <v>0</v>
      </c>
      <c r="K283">
        <v>6</v>
      </c>
      <c r="L283">
        <v>1</v>
      </c>
      <c r="M283">
        <v>0</v>
      </c>
      <c r="N283">
        <v>2</v>
      </c>
      <c r="O283">
        <v>0</v>
      </c>
      <c r="P283">
        <v>0</v>
      </c>
      <c r="Q283">
        <v>1</v>
      </c>
      <c r="R283">
        <v>0</v>
      </c>
      <c r="S283">
        <v>1</v>
      </c>
      <c r="T283">
        <v>3</v>
      </c>
      <c r="U283">
        <v>0</v>
      </c>
      <c r="V283">
        <v>1</v>
      </c>
      <c r="W283">
        <v>2</v>
      </c>
      <c r="X283">
        <v>2</v>
      </c>
      <c r="Z283">
        <v>0</v>
      </c>
      <c r="AA283">
        <v>0</v>
      </c>
    </row>
    <row r="284" spans="1:27" x14ac:dyDescent="0.4">
      <c r="A284">
        <v>285</v>
      </c>
      <c r="B284">
        <v>285</v>
      </c>
      <c r="C284" t="s">
        <v>364</v>
      </c>
      <c r="D284">
        <v>2</v>
      </c>
      <c r="E284">
        <v>3</v>
      </c>
      <c r="F284">
        <v>5</v>
      </c>
      <c r="G284">
        <v>5</v>
      </c>
      <c r="H284">
        <v>0</v>
      </c>
      <c r="I284">
        <v>0</v>
      </c>
      <c r="J284">
        <v>9</v>
      </c>
      <c r="K284">
        <v>0</v>
      </c>
      <c r="L284">
        <v>1</v>
      </c>
      <c r="M284">
        <v>0</v>
      </c>
      <c r="N284">
        <v>2</v>
      </c>
      <c r="O284">
        <v>0</v>
      </c>
      <c r="P284">
        <v>0</v>
      </c>
      <c r="Q284">
        <v>2</v>
      </c>
      <c r="R284">
        <v>0</v>
      </c>
      <c r="S284">
        <v>1</v>
      </c>
      <c r="T284">
        <v>3</v>
      </c>
      <c r="U284">
        <v>2</v>
      </c>
      <c r="V284">
        <v>2</v>
      </c>
      <c r="W284">
        <v>2</v>
      </c>
      <c r="X284">
        <v>1</v>
      </c>
      <c r="Z284">
        <v>0</v>
      </c>
      <c r="AA284">
        <v>0</v>
      </c>
    </row>
    <row r="285" spans="1:27" x14ac:dyDescent="0.4">
      <c r="A285">
        <v>286</v>
      </c>
      <c r="B285">
        <v>286</v>
      </c>
      <c r="C285" t="s">
        <v>365</v>
      </c>
      <c r="D285">
        <v>2</v>
      </c>
      <c r="E285">
        <v>3</v>
      </c>
      <c r="F285">
        <v>5</v>
      </c>
      <c r="G285">
        <v>5</v>
      </c>
      <c r="H285">
        <v>0</v>
      </c>
      <c r="I285">
        <v>0</v>
      </c>
      <c r="J285">
        <v>11</v>
      </c>
      <c r="K285">
        <v>0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2</v>
      </c>
      <c r="R285">
        <v>0</v>
      </c>
      <c r="S285">
        <v>1</v>
      </c>
      <c r="T285">
        <v>3</v>
      </c>
      <c r="U285">
        <v>2</v>
      </c>
      <c r="V285">
        <v>3</v>
      </c>
      <c r="W285">
        <v>2</v>
      </c>
      <c r="X285">
        <v>1</v>
      </c>
      <c r="Z285">
        <v>0</v>
      </c>
      <c r="AA285">
        <v>0</v>
      </c>
    </row>
    <row r="286" spans="1:27" x14ac:dyDescent="0.4">
      <c r="A286">
        <v>287</v>
      </c>
      <c r="B286">
        <v>287</v>
      </c>
      <c r="C286" t="s">
        <v>366</v>
      </c>
      <c r="D286">
        <v>7</v>
      </c>
      <c r="E286">
        <v>32</v>
      </c>
      <c r="F286">
        <v>15</v>
      </c>
      <c r="G286">
        <v>17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12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3</v>
      </c>
      <c r="U286">
        <v>0</v>
      </c>
      <c r="V286">
        <v>6</v>
      </c>
      <c r="W286">
        <v>2</v>
      </c>
      <c r="X286">
        <v>2</v>
      </c>
      <c r="Z286">
        <v>0</v>
      </c>
      <c r="AA286">
        <v>0</v>
      </c>
    </row>
    <row r="287" spans="1:27" x14ac:dyDescent="0.4">
      <c r="A287">
        <v>288</v>
      </c>
      <c r="B287">
        <v>288</v>
      </c>
      <c r="C287" t="s">
        <v>367</v>
      </c>
      <c r="D287">
        <v>7</v>
      </c>
      <c r="E287">
        <v>32</v>
      </c>
      <c r="F287">
        <v>15</v>
      </c>
      <c r="G287">
        <v>17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15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4</v>
      </c>
      <c r="U287">
        <v>0</v>
      </c>
      <c r="V287">
        <v>9</v>
      </c>
      <c r="W287">
        <v>3</v>
      </c>
      <c r="X287">
        <v>2</v>
      </c>
      <c r="Z287">
        <v>0</v>
      </c>
      <c r="AA287">
        <v>0</v>
      </c>
    </row>
    <row r="288" spans="1:27" x14ac:dyDescent="0.4">
      <c r="A288">
        <v>289</v>
      </c>
      <c r="B288">
        <v>289</v>
      </c>
      <c r="C288" t="s">
        <v>368</v>
      </c>
      <c r="D288">
        <v>1</v>
      </c>
      <c r="E288">
        <v>1</v>
      </c>
      <c r="F288">
        <v>3</v>
      </c>
      <c r="G288">
        <v>3</v>
      </c>
      <c r="H288">
        <v>0</v>
      </c>
      <c r="I288">
        <v>19</v>
      </c>
      <c r="J288">
        <v>0</v>
      </c>
      <c r="K288">
        <v>5</v>
      </c>
      <c r="L288">
        <v>0</v>
      </c>
      <c r="M288">
        <v>0</v>
      </c>
      <c r="N288">
        <v>2</v>
      </c>
      <c r="O288">
        <v>0</v>
      </c>
      <c r="P288">
        <v>0</v>
      </c>
      <c r="Q288">
        <v>3</v>
      </c>
      <c r="R288">
        <v>0</v>
      </c>
      <c r="S288">
        <v>3</v>
      </c>
      <c r="T288">
        <v>4</v>
      </c>
      <c r="U288">
        <v>0</v>
      </c>
      <c r="V288">
        <v>16</v>
      </c>
      <c r="W288">
        <v>20</v>
      </c>
      <c r="X288">
        <v>2</v>
      </c>
      <c r="Z288">
        <v>0</v>
      </c>
      <c r="AA288">
        <v>0</v>
      </c>
    </row>
    <row r="289" spans="1:27" x14ac:dyDescent="0.4">
      <c r="A289">
        <v>290</v>
      </c>
      <c r="B289">
        <v>290</v>
      </c>
      <c r="C289" t="s">
        <v>369</v>
      </c>
      <c r="D289">
        <v>1</v>
      </c>
      <c r="E289">
        <v>1</v>
      </c>
      <c r="F289">
        <v>3</v>
      </c>
      <c r="G289">
        <v>3</v>
      </c>
      <c r="H289">
        <v>0</v>
      </c>
      <c r="I289">
        <v>23</v>
      </c>
      <c r="J289">
        <v>0</v>
      </c>
      <c r="K289">
        <v>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5</v>
      </c>
      <c r="R289">
        <v>0</v>
      </c>
      <c r="S289">
        <v>3</v>
      </c>
      <c r="T289">
        <v>5</v>
      </c>
      <c r="U289">
        <v>0</v>
      </c>
      <c r="V289">
        <v>20</v>
      </c>
      <c r="W289">
        <v>22</v>
      </c>
      <c r="X289">
        <v>6</v>
      </c>
      <c r="Z289">
        <v>0</v>
      </c>
      <c r="AA289">
        <v>0</v>
      </c>
    </row>
    <row r="290" spans="1:27" x14ac:dyDescent="0.4">
      <c r="A290">
        <v>291</v>
      </c>
      <c r="B290">
        <v>291</v>
      </c>
      <c r="C290" t="s">
        <v>370</v>
      </c>
      <c r="D290">
        <v>3</v>
      </c>
      <c r="E290">
        <v>5</v>
      </c>
      <c r="F290">
        <v>7</v>
      </c>
      <c r="G290">
        <v>7</v>
      </c>
      <c r="H290">
        <v>16</v>
      </c>
      <c r="I290">
        <v>0</v>
      </c>
      <c r="J290">
        <v>0</v>
      </c>
      <c r="K290">
        <v>1</v>
      </c>
      <c r="L290">
        <v>0</v>
      </c>
      <c r="M290">
        <v>4</v>
      </c>
      <c r="N290">
        <v>0</v>
      </c>
      <c r="O290">
        <v>0</v>
      </c>
      <c r="P290">
        <v>0</v>
      </c>
      <c r="Q290">
        <v>2</v>
      </c>
      <c r="R290">
        <v>11</v>
      </c>
      <c r="S290">
        <v>3</v>
      </c>
      <c r="T290">
        <v>3</v>
      </c>
      <c r="U290">
        <v>2</v>
      </c>
      <c r="V290">
        <v>4</v>
      </c>
      <c r="W290">
        <v>0</v>
      </c>
      <c r="X290">
        <v>3</v>
      </c>
      <c r="Z290">
        <v>5</v>
      </c>
      <c r="AA290">
        <v>5</v>
      </c>
    </row>
    <row r="291" spans="1:27" x14ac:dyDescent="0.4">
      <c r="A291">
        <v>292</v>
      </c>
      <c r="B291">
        <v>292</v>
      </c>
      <c r="C291" t="s">
        <v>371</v>
      </c>
      <c r="D291">
        <v>3</v>
      </c>
      <c r="E291">
        <v>5</v>
      </c>
      <c r="F291">
        <v>7</v>
      </c>
      <c r="G291">
        <v>7</v>
      </c>
      <c r="H291">
        <v>16</v>
      </c>
      <c r="I291">
        <v>0</v>
      </c>
      <c r="J291">
        <v>0</v>
      </c>
      <c r="K291">
        <v>2</v>
      </c>
      <c r="L291">
        <v>0</v>
      </c>
      <c r="M291">
        <v>5</v>
      </c>
      <c r="N291">
        <v>0</v>
      </c>
      <c r="O291">
        <v>2</v>
      </c>
      <c r="P291">
        <v>0</v>
      </c>
      <c r="Q291">
        <v>3</v>
      </c>
      <c r="R291">
        <v>12</v>
      </c>
      <c r="S291">
        <v>3</v>
      </c>
      <c r="T291">
        <v>4</v>
      </c>
      <c r="U291">
        <v>2</v>
      </c>
      <c r="V291">
        <v>5</v>
      </c>
      <c r="W291">
        <v>0</v>
      </c>
      <c r="X291">
        <v>3</v>
      </c>
      <c r="Z291">
        <v>6</v>
      </c>
      <c r="AA291">
        <v>5</v>
      </c>
    </row>
    <row r="292" spans="1:27" x14ac:dyDescent="0.4">
      <c r="A292">
        <v>293</v>
      </c>
      <c r="B292">
        <v>293</v>
      </c>
      <c r="C292" t="s">
        <v>372</v>
      </c>
      <c r="D292">
        <v>1</v>
      </c>
      <c r="E292">
        <v>1</v>
      </c>
      <c r="F292">
        <v>1</v>
      </c>
      <c r="G292">
        <v>1</v>
      </c>
      <c r="H292">
        <v>0</v>
      </c>
      <c r="I292">
        <v>1</v>
      </c>
      <c r="J292">
        <v>0</v>
      </c>
      <c r="K292">
        <v>0</v>
      </c>
      <c r="L292">
        <v>1</v>
      </c>
      <c r="M292">
        <v>0</v>
      </c>
      <c r="N292">
        <v>1</v>
      </c>
      <c r="O292">
        <v>0</v>
      </c>
      <c r="P292">
        <v>0</v>
      </c>
      <c r="Q292">
        <v>1</v>
      </c>
      <c r="R292">
        <v>0</v>
      </c>
      <c r="S292">
        <v>1</v>
      </c>
      <c r="T292">
        <v>2</v>
      </c>
      <c r="U292">
        <v>0</v>
      </c>
      <c r="V292">
        <v>1</v>
      </c>
      <c r="W292">
        <v>1</v>
      </c>
      <c r="X292">
        <v>0</v>
      </c>
      <c r="Z292">
        <v>0</v>
      </c>
      <c r="AA292">
        <v>0</v>
      </c>
    </row>
    <row r="293" spans="1:27" x14ac:dyDescent="0.4">
      <c r="A293">
        <v>294</v>
      </c>
      <c r="B293">
        <v>294</v>
      </c>
      <c r="C293" t="s">
        <v>373</v>
      </c>
      <c r="D293">
        <v>1</v>
      </c>
      <c r="E293">
        <v>1</v>
      </c>
      <c r="F293">
        <v>1</v>
      </c>
      <c r="G293">
        <v>1</v>
      </c>
      <c r="H293">
        <v>0</v>
      </c>
      <c r="I293">
        <v>2</v>
      </c>
      <c r="J293">
        <v>0</v>
      </c>
      <c r="K293">
        <v>1</v>
      </c>
      <c r="L293">
        <v>1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1</v>
      </c>
      <c r="T293">
        <v>2</v>
      </c>
      <c r="U293">
        <v>0</v>
      </c>
      <c r="V293">
        <v>1</v>
      </c>
      <c r="W293">
        <v>2</v>
      </c>
      <c r="X293">
        <v>0</v>
      </c>
      <c r="Z293">
        <v>0</v>
      </c>
      <c r="AA293">
        <v>0</v>
      </c>
    </row>
    <row r="294" spans="1:27" x14ac:dyDescent="0.4">
      <c r="A294">
        <v>295</v>
      </c>
      <c r="B294">
        <v>295</v>
      </c>
      <c r="C294" t="s">
        <v>374</v>
      </c>
      <c r="D294">
        <v>1</v>
      </c>
      <c r="E294">
        <v>1</v>
      </c>
      <c r="F294">
        <v>1</v>
      </c>
      <c r="G294">
        <v>16</v>
      </c>
      <c r="H294">
        <v>0</v>
      </c>
      <c r="I294">
        <v>2</v>
      </c>
      <c r="J294">
        <v>0</v>
      </c>
      <c r="K294">
        <v>8</v>
      </c>
      <c r="L294">
        <v>1</v>
      </c>
      <c r="M294">
        <v>0</v>
      </c>
      <c r="N294">
        <v>0</v>
      </c>
      <c r="O294">
        <v>0</v>
      </c>
      <c r="P294">
        <v>0</v>
      </c>
      <c r="Q294">
        <v>1</v>
      </c>
      <c r="R294">
        <v>0</v>
      </c>
      <c r="S294">
        <v>1</v>
      </c>
      <c r="T294">
        <v>3</v>
      </c>
      <c r="U294">
        <v>0</v>
      </c>
      <c r="V294">
        <v>2</v>
      </c>
      <c r="W294">
        <v>2</v>
      </c>
      <c r="X294">
        <v>2</v>
      </c>
      <c r="Z294">
        <v>0</v>
      </c>
      <c r="AA294">
        <v>0</v>
      </c>
    </row>
    <row r="295" spans="1:27" x14ac:dyDescent="0.4">
      <c r="A295">
        <v>296</v>
      </c>
      <c r="B295">
        <v>296</v>
      </c>
      <c r="C295" t="s">
        <v>375</v>
      </c>
      <c r="D295">
        <v>1</v>
      </c>
      <c r="E295">
        <v>1</v>
      </c>
      <c r="F295">
        <v>1</v>
      </c>
      <c r="G295">
        <v>16</v>
      </c>
      <c r="H295">
        <v>0</v>
      </c>
      <c r="I295">
        <v>3</v>
      </c>
      <c r="J295">
        <v>0</v>
      </c>
      <c r="K295">
        <v>9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0</v>
      </c>
      <c r="S295">
        <v>1</v>
      </c>
      <c r="T295">
        <v>3</v>
      </c>
      <c r="U295">
        <v>0</v>
      </c>
      <c r="V295">
        <v>3</v>
      </c>
      <c r="W295">
        <v>2</v>
      </c>
      <c r="X295">
        <v>2</v>
      </c>
      <c r="Z295">
        <v>0</v>
      </c>
      <c r="AA295">
        <v>0</v>
      </c>
    </row>
    <row r="296" spans="1:27" x14ac:dyDescent="0.4">
      <c r="A296">
        <v>297</v>
      </c>
      <c r="B296">
        <v>297</v>
      </c>
      <c r="C296" t="s">
        <v>376</v>
      </c>
      <c r="D296">
        <v>1</v>
      </c>
      <c r="E296">
        <v>1</v>
      </c>
      <c r="F296">
        <v>1</v>
      </c>
      <c r="G296">
        <v>1</v>
      </c>
      <c r="H296">
        <v>0</v>
      </c>
      <c r="I296">
        <v>2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0</v>
      </c>
      <c r="V296">
        <v>1</v>
      </c>
      <c r="W296">
        <v>2</v>
      </c>
      <c r="X296">
        <v>0</v>
      </c>
      <c r="Z296">
        <v>0</v>
      </c>
      <c r="AA296">
        <v>0</v>
      </c>
    </row>
    <row r="297" spans="1:27" x14ac:dyDescent="0.4">
      <c r="A297">
        <v>298</v>
      </c>
      <c r="B297">
        <v>298</v>
      </c>
      <c r="C297" t="s">
        <v>377</v>
      </c>
      <c r="D297">
        <v>1</v>
      </c>
      <c r="E297">
        <v>1</v>
      </c>
      <c r="F297">
        <v>3</v>
      </c>
      <c r="G297">
        <v>3</v>
      </c>
      <c r="H297">
        <v>0</v>
      </c>
      <c r="I297">
        <v>21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2</v>
      </c>
      <c r="R297">
        <v>0</v>
      </c>
      <c r="S297">
        <v>3</v>
      </c>
      <c r="T297">
        <v>3</v>
      </c>
      <c r="U297">
        <v>0</v>
      </c>
      <c r="V297">
        <v>15</v>
      </c>
      <c r="W297">
        <v>21</v>
      </c>
      <c r="X297">
        <v>1</v>
      </c>
      <c r="Z297">
        <v>0</v>
      </c>
      <c r="AA297">
        <v>0</v>
      </c>
    </row>
    <row r="298" spans="1:27" x14ac:dyDescent="0.4">
      <c r="A298">
        <v>299</v>
      </c>
      <c r="B298">
        <v>299</v>
      </c>
      <c r="C298" t="s">
        <v>378</v>
      </c>
      <c r="D298">
        <v>1</v>
      </c>
      <c r="E298">
        <v>1</v>
      </c>
      <c r="F298">
        <v>3</v>
      </c>
      <c r="G298">
        <v>3</v>
      </c>
      <c r="H298">
        <v>0</v>
      </c>
      <c r="I298">
        <v>22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0</v>
      </c>
      <c r="P298">
        <v>0</v>
      </c>
      <c r="Q298">
        <v>4</v>
      </c>
      <c r="R298">
        <v>0</v>
      </c>
      <c r="S298">
        <v>3</v>
      </c>
      <c r="T298">
        <v>4</v>
      </c>
      <c r="U298">
        <v>0</v>
      </c>
      <c r="V298">
        <v>15</v>
      </c>
      <c r="W298">
        <v>22</v>
      </c>
      <c r="X298">
        <v>2</v>
      </c>
      <c r="Z298">
        <v>0</v>
      </c>
      <c r="AA298">
        <v>0</v>
      </c>
    </row>
    <row r="299" spans="1:27" x14ac:dyDescent="0.4">
      <c r="A299">
        <v>300</v>
      </c>
      <c r="B299">
        <v>300</v>
      </c>
      <c r="C299" t="s">
        <v>379</v>
      </c>
      <c r="D299">
        <v>1</v>
      </c>
      <c r="E299">
        <v>1</v>
      </c>
      <c r="F299">
        <v>3</v>
      </c>
      <c r="G299">
        <v>3</v>
      </c>
      <c r="H299">
        <v>0</v>
      </c>
      <c r="I299">
        <v>23</v>
      </c>
      <c r="J299">
        <v>0</v>
      </c>
      <c r="K299">
        <v>7</v>
      </c>
      <c r="L299">
        <v>1</v>
      </c>
      <c r="M299">
        <v>0</v>
      </c>
      <c r="N299">
        <v>2</v>
      </c>
      <c r="O299">
        <v>0</v>
      </c>
      <c r="P299">
        <v>0</v>
      </c>
      <c r="Q299">
        <v>6</v>
      </c>
      <c r="R299">
        <v>0</v>
      </c>
      <c r="S299">
        <v>3</v>
      </c>
      <c r="T299">
        <v>5</v>
      </c>
      <c r="U299">
        <v>0</v>
      </c>
      <c r="V299">
        <v>16</v>
      </c>
      <c r="W299">
        <v>23</v>
      </c>
      <c r="X299">
        <v>4</v>
      </c>
      <c r="Z299">
        <v>0</v>
      </c>
      <c r="AA299">
        <v>0</v>
      </c>
    </row>
    <row r="300" spans="1:27" x14ac:dyDescent="0.4">
      <c r="A300">
        <v>301</v>
      </c>
      <c r="B300">
        <v>301</v>
      </c>
      <c r="C300" t="s">
        <v>380</v>
      </c>
      <c r="D300">
        <v>4</v>
      </c>
      <c r="E300">
        <v>29</v>
      </c>
      <c r="F300">
        <v>21</v>
      </c>
      <c r="G300">
        <v>15</v>
      </c>
      <c r="H300">
        <v>0</v>
      </c>
      <c r="I300">
        <v>0</v>
      </c>
      <c r="J300">
        <v>0</v>
      </c>
      <c r="K300">
        <v>7</v>
      </c>
      <c r="L300">
        <v>0</v>
      </c>
      <c r="M300">
        <v>0</v>
      </c>
      <c r="N300">
        <v>2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3</v>
      </c>
      <c r="U300">
        <v>0</v>
      </c>
      <c r="V300">
        <v>4</v>
      </c>
      <c r="W300">
        <v>2</v>
      </c>
      <c r="X300">
        <v>4</v>
      </c>
      <c r="Z300">
        <v>0</v>
      </c>
      <c r="AA300">
        <v>0</v>
      </c>
    </row>
    <row r="301" spans="1:27" x14ac:dyDescent="0.4">
      <c r="A301">
        <v>302</v>
      </c>
      <c r="B301">
        <v>302</v>
      </c>
      <c r="C301" t="s">
        <v>381</v>
      </c>
      <c r="D301">
        <v>3</v>
      </c>
      <c r="E301">
        <v>5</v>
      </c>
      <c r="F301">
        <v>8</v>
      </c>
      <c r="G301">
        <v>8</v>
      </c>
      <c r="H301">
        <v>1</v>
      </c>
      <c r="I301">
        <v>0</v>
      </c>
      <c r="J301">
        <v>8</v>
      </c>
      <c r="K301">
        <v>0</v>
      </c>
      <c r="L301">
        <v>0</v>
      </c>
      <c r="M301">
        <v>9</v>
      </c>
      <c r="N301">
        <v>1</v>
      </c>
      <c r="O301">
        <v>3</v>
      </c>
      <c r="P301">
        <v>0</v>
      </c>
      <c r="Q301">
        <v>2</v>
      </c>
      <c r="R301">
        <v>0</v>
      </c>
      <c r="S301">
        <v>0</v>
      </c>
      <c r="T301">
        <v>3</v>
      </c>
      <c r="U301">
        <v>2</v>
      </c>
      <c r="V301">
        <v>3</v>
      </c>
      <c r="W301">
        <v>0</v>
      </c>
      <c r="X301">
        <v>4</v>
      </c>
      <c r="Z301">
        <v>4</v>
      </c>
      <c r="AA301">
        <v>5</v>
      </c>
    </row>
    <row r="302" spans="1:27" x14ac:dyDescent="0.4">
      <c r="A302">
        <v>303</v>
      </c>
      <c r="B302">
        <v>303</v>
      </c>
      <c r="C302" t="s">
        <v>382</v>
      </c>
      <c r="D302">
        <v>1</v>
      </c>
      <c r="E302">
        <v>1</v>
      </c>
      <c r="F302">
        <v>2</v>
      </c>
      <c r="G302">
        <v>2</v>
      </c>
      <c r="H302">
        <v>0</v>
      </c>
      <c r="I302">
        <v>5</v>
      </c>
      <c r="J302">
        <v>0</v>
      </c>
      <c r="K302">
        <v>4</v>
      </c>
      <c r="L302">
        <v>0</v>
      </c>
      <c r="M302">
        <v>0</v>
      </c>
      <c r="N302">
        <v>1</v>
      </c>
      <c r="O302">
        <v>0</v>
      </c>
      <c r="P302">
        <v>0</v>
      </c>
      <c r="Q302">
        <v>3</v>
      </c>
      <c r="R302">
        <v>0</v>
      </c>
      <c r="S302">
        <v>2</v>
      </c>
      <c r="T302">
        <v>3</v>
      </c>
      <c r="U302">
        <v>0</v>
      </c>
      <c r="V302">
        <v>2</v>
      </c>
      <c r="W302">
        <v>3</v>
      </c>
      <c r="X302">
        <v>1</v>
      </c>
      <c r="Z302">
        <v>0</v>
      </c>
      <c r="AA302">
        <v>0</v>
      </c>
    </row>
    <row r="303" spans="1:27" x14ac:dyDescent="0.4">
      <c r="A303">
        <v>304</v>
      </c>
      <c r="B303">
        <v>304</v>
      </c>
      <c r="C303" t="s">
        <v>383</v>
      </c>
      <c r="D303">
        <v>5</v>
      </c>
      <c r="E303">
        <v>7</v>
      </c>
      <c r="F303">
        <v>10</v>
      </c>
      <c r="G303">
        <v>10</v>
      </c>
      <c r="H303">
        <v>28</v>
      </c>
      <c r="I303">
        <v>0</v>
      </c>
      <c r="J303">
        <v>0</v>
      </c>
      <c r="K303">
        <v>1</v>
      </c>
      <c r="L303">
        <v>0</v>
      </c>
      <c r="M303">
        <v>2</v>
      </c>
      <c r="N303">
        <v>0</v>
      </c>
      <c r="O303">
        <v>4</v>
      </c>
      <c r="P303">
        <v>0</v>
      </c>
      <c r="Q303">
        <v>2</v>
      </c>
      <c r="R303">
        <v>0</v>
      </c>
      <c r="S303">
        <v>0</v>
      </c>
      <c r="T303">
        <v>2</v>
      </c>
      <c r="U303">
        <v>1</v>
      </c>
      <c r="V303">
        <v>1</v>
      </c>
      <c r="W303">
        <v>0</v>
      </c>
      <c r="X303">
        <v>2</v>
      </c>
      <c r="Z303">
        <v>3</v>
      </c>
      <c r="AA303">
        <v>3</v>
      </c>
    </row>
    <row r="304" spans="1:27" x14ac:dyDescent="0.4">
      <c r="A304">
        <v>305</v>
      </c>
      <c r="B304">
        <v>305</v>
      </c>
      <c r="C304" t="s">
        <v>384</v>
      </c>
      <c r="D304">
        <v>3</v>
      </c>
      <c r="E304">
        <v>5</v>
      </c>
      <c r="F304">
        <v>7</v>
      </c>
      <c r="G304">
        <v>7</v>
      </c>
      <c r="H304">
        <v>14</v>
      </c>
      <c r="I304">
        <v>0</v>
      </c>
      <c r="J304">
        <v>0</v>
      </c>
      <c r="K304">
        <v>0</v>
      </c>
      <c r="L304">
        <v>0</v>
      </c>
      <c r="M304">
        <v>9</v>
      </c>
      <c r="N304">
        <v>1</v>
      </c>
      <c r="O304">
        <v>2</v>
      </c>
      <c r="P304">
        <v>0</v>
      </c>
      <c r="Q304">
        <v>2</v>
      </c>
      <c r="R304">
        <v>9</v>
      </c>
      <c r="S304">
        <v>0</v>
      </c>
      <c r="T304">
        <v>4</v>
      </c>
      <c r="U304">
        <v>2</v>
      </c>
      <c r="V304">
        <v>5</v>
      </c>
      <c r="W304">
        <v>0</v>
      </c>
      <c r="X304">
        <v>7</v>
      </c>
      <c r="Z304">
        <v>4</v>
      </c>
      <c r="AA304">
        <v>8</v>
      </c>
    </row>
    <row r="305" spans="1:27" x14ac:dyDescent="0.4">
      <c r="A305">
        <v>306</v>
      </c>
      <c r="B305">
        <v>306</v>
      </c>
      <c r="C305" t="s">
        <v>385</v>
      </c>
      <c r="D305">
        <v>3</v>
      </c>
      <c r="E305">
        <v>5</v>
      </c>
      <c r="F305">
        <v>7</v>
      </c>
      <c r="G305">
        <v>7</v>
      </c>
      <c r="H305">
        <v>14</v>
      </c>
      <c r="I305">
        <v>0</v>
      </c>
      <c r="J305">
        <v>0</v>
      </c>
      <c r="K305">
        <v>0</v>
      </c>
      <c r="L305">
        <v>0</v>
      </c>
      <c r="M305">
        <v>10</v>
      </c>
      <c r="N305">
        <v>1</v>
      </c>
      <c r="O305">
        <v>2</v>
      </c>
      <c r="P305">
        <v>0</v>
      </c>
      <c r="Q305">
        <v>3</v>
      </c>
      <c r="R305">
        <v>10</v>
      </c>
      <c r="S305">
        <v>3</v>
      </c>
      <c r="T305">
        <v>5</v>
      </c>
      <c r="U305">
        <v>2</v>
      </c>
      <c r="V305">
        <v>5</v>
      </c>
      <c r="W305">
        <v>0</v>
      </c>
      <c r="X305">
        <v>7</v>
      </c>
      <c r="Z305">
        <v>4</v>
      </c>
      <c r="AA305">
        <v>8</v>
      </c>
    </row>
    <row r="306" spans="1:27" x14ac:dyDescent="0.4">
      <c r="A306">
        <v>307</v>
      </c>
      <c r="B306">
        <v>307</v>
      </c>
      <c r="C306" t="s">
        <v>386</v>
      </c>
      <c r="D306">
        <v>5</v>
      </c>
      <c r="E306">
        <v>8</v>
      </c>
      <c r="F306">
        <v>12</v>
      </c>
      <c r="G306">
        <v>11</v>
      </c>
      <c r="H306">
        <v>0</v>
      </c>
      <c r="I306">
        <v>2</v>
      </c>
      <c r="J306">
        <v>0</v>
      </c>
      <c r="K306">
        <v>7</v>
      </c>
      <c r="L306">
        <v>1</v>
      </c>
      <c r="M306">
        <v>0</v>
      </c>
      <c r="N306">
        <v>2</v>
      </c>
      <c r="O306">
        <v>6</v>
      </c>
      <c r="P306">
        <v>0</v>
      </c>
      <c r="Q306">
        <v>9</v>
      </c>
      <c r="R306">
        <v>0</v>
      </c>
      <c r="S306">
        <v>2</v>
      </c>
      <c r="T306">
        <v>4</v>
      </c>
      <c r="U306">
        <v>0</v>
      </c>
      <c r="V306">
        <v>0</v>
      </c>
      <c r="W306">
        <v>20</v>
      </c>
      <c r="X306">
        <v>24</v>
      </c>
      <c r="Z306">
        <v>0</v>
      </c>
      <c r="AA306">
        <v>0</v>
      </c>
    </row>
    <row r="307" spans="1:27" x14ac:dyDescent="0.4">
      <c r="A307">
        <v>308</v>
      </c>
      <c r="B307">
        <v>308</v>
      </c>
      <c r="C307" t="s">
        <v>387</v>
      </c>
      <c r="D307">
        <v>1</v>
      </c>
      <c r="E307">
        <v>1</v>
      </c>
      <c r="F307">
        <v>1</v>
      </c>
      <c r="G307">
        <v>16</v>
      </c>
      <c r="H307">
        <v>0</v>
      </c>
      <c r="I307">
        <v>3</v>
      </c>
      <c r="J307">
        <v>0</v>
      </c>
      <c r="K307">
        <v>11</v>
      </c>
      <c r="L307">
        <v>1</v>
      </c>
      <c r="M307">
        <v>0</v>
      </c>
      <c r="N307">
        <v>2</v>
      </c>
      <c r="O307">
        <v>3</v>
      </c>
      <c r="P307">
        <v>0</v>
      </c>
      <c r="Q307">
        <v>6</v>
      </c>
      <c r="R307">
        <v>0</v>
      </c>
      <c r="S307">
        <v>2</v>
      </c>
      <c r="T307">
        <v>5</v>
      </c>
      <c r="U307">
        <v>0</v>
      </c>
      <c r="V307">
        <v>2</v>
      </c>
      <c r="W307">
        <v>22</v>
      </c>
      <c r="X307">
        <v>28</v>
      </c>
      <c r="Z307">
        <v>0</v>
      </c>
      <c r="AA307">
        <v>0</v>
      </c>
    </row>
    <row r="308" spans="1:27" x14ac:dyDescent="0.4">
      <c r="A308">
        <v>309</v>
      </c>
      <c r="B308">
        <v>309</v>
      </c>
      <c r="C308" t="s">
        <v>388</v>
      </c>
      <c r="D308">
        <v>2</v>
      </c>
      <c r="E308">
        <v>4</v>
      </c>
      <c r="F308">
        <v>22</v>
      </c>
      <c r="G308">
        <v>5</v>
      </c>
      <c r="H308">
        <v>0</v>
      </c>
      <c r="I308">
        <v>0</v>
      </c>
      <c r="J308">
        <v>14</v>
      </c>
      <c r="K308">
        <v>0</v>
      </c>
      <c r="L308">
        <v>0</v>
      </c>
      <c r="M308">
        <v>0</v>
      </c>
      <c r="N308">
        <v>1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3</v>
      </c>
      <c r="U308">
        <v>2</v>
      </c>
      <c r="V308">
        <v>8</v>
      </c>
      <c r="W308">
        <v>8</v>
      </c>
      <c r="X308">
        <v>3</v>
      </c>
      <c r="Z308">
        <v>0</v>
      </c>
      <c r="AA308">
        <v>0</v>
      </c>
    </row>
    <row r="309" spans="1:27" x14ac:dyDescent="0.4">
      <c r="A309">
        <v>310</v>
      </c>
      <c r="B309">
        <v>310</v>
      </c>
      <c r="C309" t="s">
        <v>389</v>
      </c>
      <c r="D309">
        <v>1</v>
      </c>
      <c r="E309">
        <v>1</v>
      </c>
      <c r="F309">
        <v>2</v>
      </c>
      <c r="G309">
        <v>2</v>
      </c>
      <c r="H309">
        <v>0</v>
      </c>
      <c r="I309">
        <v>5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3</v>
      </c>
      <c r="R309">
        <v>0</v>
      </c>
      <c r="S309">
        <v>2</v>
      </c>
      <c r="T309">
        <v>2</v>
      </c>
      <c r="U309">
        <v>0</v>
      </c>
      <c r="V309">
        <v>3</v>
      </c>
      <c r="W309">
        <v>2</v>
      </c>
      <c r="X309">
        <v>1</v>
      </c>
      <c r="Z309">
        <v>0</v>
      </c>
      <c r="AA309">
        <v>0</v>
      </c>
    </row>
    <row r="310" spans="1:27" x14ac:dyDescent="0.4">
      <c r="A310">
        <v>311</v>
      </c>
      <c r="B310">
        <v>311</v>
      </c>
      <c r="C310" t="s">
        <v>391</v>
      </c>
      <c r="D310">
        <v>25</v>
      </c>
      <c r="E310">
        <v>7</v>
      </c>
      <c r="F310">
        <v>49</v>
      </c>
      <c r="G310">
        <v>9</v>
      </c>
      <c r="H310">
        <v>31</v>
      </c>
      <c r="I310">
        <v>0</v>
      </c>
      <c r="J310">
        <v>0</v>
      </c>
      <c r="K310">
        <v>3</v>
      </c>
      <c r="L310">
        <v>0</v>
      </c>
      <c r="M310">
        <v>0</v>
      </c>
      <c r="N310">
        <v>0</v>
      </c>
      <c r="O310">
        <v>8</v>
      </c>
      <c r="P310">
        <v>0</v>
      </c>
      <c r="Q310">
        <v>2</v>
      </c>
      <c r="R310">
        <v>0</v>
      </c>
      <c r="S310">
        <v>0</v>
      </c>
      <c r="T310">
        <v>2</v>
      </c>
      <c r="U310">
        <v>4</v>
      </c>
      <c r="V310">
        <v>2</v>
      </c>
      <c r="W310">
        <v>0</v>
      </c>
      <c r="X310">
        <v>12</v>
      </c>
      <c r="Z310">
        <v>8</v>
      </c>
      <c r="AA310">
        <v>7</v>
      </c>
    </row>
    <row r="311" spans="1:27" x14ac:dyDescent="0.4">
      <c r="A311">
        <v>312</v>
      </c>
      <c r="B311">
        <v>312</v>
      </c>
      <c r="C311" t="s">
        <v>392</v>
      </c>
      <c r="D311">
        <v>25</v>
      </c>
      <c r="E311">
        <v>7</v>
      </c>
      <c r="F311">
        <v>49</v>
      </c>
      <c r="G311">
        <v>9</v>
      </c>
      <c r="H311">
        <v>31</v>
      </c>
      <c r="I311">
        <v>0</v>
      </c>
      <c r="J311">
        <v>0</v>
      </c>
      <c r="K311">
        <v>3</v>
      </c>
      <c r="L311">
        <v>1</v>
      </c>
      <c r="M311">
        <v>0</v>
      </c>
      <c r="N311">
        <v>0</v>
      </c>
      <c r="O311">
        <v>9</v>
      </c>
      <c r="P311">
        <v>0</v>
      </c>
      <c r="Q311">
        <v>3</v>
      </c>
      <c r="R311">
        <v>0</v>
      </c>
      <c r="S311">
        <v>0</v>
      </c>
      <c r="T311">
        <v>3</v>
      </c>
      <c r="U311">
        <v>5</v>
      </c>
      <c r="V311">
        <v>2</v>
      </c>
      <c r="W311">
        <v>0</v>
      </c>
      <c r="X311">
        <v>13</v>
      </c>
      <c r="Z311">
        <v>9</v>
      </c>
      <c r="AA311">
        <v>7</v>
      </c>
    </row>
    <row r="312" spans="1:27" x14ac:dyDescent="0.4">
      <c r="A312">
        <v>313</v>
      </c>
      <c r="B312">
        <v>313</v>
      </c>
      <c r="C312" t="s">
        <v>393</v>
      </c>
      <c r="D312">
        <v>1</v>
      </c>
      <c r="E312">
        <v>1</v>
      </c>
      <c r="F312">
        <v>1</v>
      </c>
      <c r="G312">
        <v>16</v>
      </c>
      <c r="H312">
        <v>0</v>
      </c>
      <c r="I312">
        <v>3</v>
      </c>
      <c r="J312">
        <v>0</v>
      </c>
      <c r="K312">
        <v>7</v>
      </c>
      <c r="L312">
        <v>1</v>
      </c>
      <c r="M312">
        <v>0</v>
      </c>
      <c r="N312">
        <v>2</v>
      </c>
      <c r="O312">
        <v>0</v>
      </c>
      <c r="P312">
        <v>0</v>
      </c>
      <c r="Q312">
        <v>2</v>
      </c>
      <c r="R312">
        <v>0</v>
      </c>
      <c r="S312">
        <v>1</v>
      </c>
      <c r="T312">
        <v>4</v>
      </c>
      <c r="U312">
        <v>0</v>
      </c>
      <c r="V312">
        <v>2</v>
      </c>
      <c r="W312">
        <v>2</v>
      </c>
      <c r="X312">
        <v>3</v>
      </c>
      <c r="Z312">
        <v>0</v>
      </c>
      <c r="AA312">
        <v>0</v>
      </c>
    </row>
    <row r="313" spans="1:27" x14ac:dyDescent="0.4">
      <c r="A313">
        <v>314</v>
      </c>
      <c r="B313">
        <v>314</v>
      </c>
      <c r="C313" t="s">
        <v>394</v>
      </c>
      <c r="D313">
        <v>2</v>
      </c>
      <c r="E313">
        <v>3</v>
      </c>
      <c r="F313">
        <v>5</v>
      </c>
      <c r="G313">
        <v>5</v>
      </c>
      <c r="H313">
        <v>0</v>
      </c>
      <c r="I313">
        <v>1</v>
      </c>
      <c r="J313">
        <v>8</v>
      </c>
      <c r="K313">
        <v>0</v>
      </c>
      <c r="L313">
        <v>1</v>
      </c>
      <c r="M313">
        <v>0</v>
      </c>
      <c r="N313">
        <v>1</v>
      </c>
      <c r="O313">
        <v>0</v>
      </c>
      <c r="P313">
        <v>0</v>
      </c>
      <c r="Q313">
        <v>0</v>
      </c>
      <c r="R313">
        <v>0</v>
      </c>
      <c r="S313">
        <v>1</v>
      </c>
      <c r="T313">
        <v>2</v>
      </c>
      <c r="U313">
        <v>1</v>
      </c>
      <c r="V313">
        <v>3</v>
      </c>
      <c r="W313">
        <v>2</v>
      </c>
      <c r="X313">
        <v>2</v>
      </c>
      <c r="Z313">
        <v>0</v>
      </c>
      <c r="AA313">
        <v>0</v>
      </c>
    </row>
    <row r="314" spans="1:27" x14ac:dyDescent="0.4">
      <c r="A314">
        <v>315</v>
      </c>
      <c r="B314">
        <v>315</v>
      </c>
      <c r="C314" t="s">
        <v>395</v>
      </c>
      <c r="D314">
        <v>5</v>
      </c>
      <c r="E314">
        <v>8</v>
      </c>
      <c r="F314">
        <v>12</v>
      </c>
      <c r="G314">
        <v>11</v>
      </c>
      <c r="H314">
        <v>0</v>
      </c>
      <c r="I314">
        <v>1</v>
      </c>
      <c r="J314">
        <v>0</v>
      </c>
      <c r="K314">
        <v>3</v>
      </c>
      <c r="L314">
        <v>0</v>
      </c>
      <c r="M314">
        <v>3</v>
      </c>
      <c r="N314">
        <v>6</v>
      </c>
      <c r="O314">
        <v>8</v>
      </c>
      <c r="P314">
        <v>0</v>
      </c>
      <c r="Q314">
        <v>8</v>
      </c>
      <c r="R314">
        <v>0</v>
      </c>
      <c r="S314">
        <v>2</v>
      </c>
      <c r="T314">
        <v>3</v>
      </c>
      <c r="U314">
        <v>0</v>
      </c>
      <c r="V314">
        <v>0</v>
      </c>
      <c r="W314">
        <v>15</v>
      </c>
      <c r="X314">
        <v>20</v>
      </c>
      <c r="Z314">
        <v>0</v>
      </c>
      <c r="AA314">
        <v>0</v>
      </c>
    </row>
    <row r="315" spans="1:27" x14ac:dyDescent="0.4">
      <c r="A315">
        <v>316</v>
      </c>
      <c r="B315">
        <v>316</v>
      </c>
      <c r="C315" t="s">
        <v>396</v>
      </c>
      <c r="D315">
        <v>3</v>
      </c>
      <c r="E315">
        <v>5</v>
      </c>
      <c r="F315">
        <v>7</v>
      </c>
      <c r="G315">
        <v>7</v>
      </c>
      <c r="H315">
        <v>14</v>
      </c>
      <c r="I315">
        <v>3</v>
      </c>
      <c r="J315">
        <v>0</v>
      </c>
      <c r="K315">
        <v>4</v>
      </c>
      <c r="L315">
        <v>0</v>
      </c>
      <c r="M315">
        <v>3</v>
      </c>
      <c r="N315">
        <v>2</v>
      </c>
      <c r="O315">
        <v>0</v>
      </c>
      <c r="P315">
        <v>0</v>
      </c>
      <c r="Q315">
        <v>1</v>
      </c>
      <c r="R315">
        <v>6</v>
      </c>
      <c r="S315">
        <v>0</v>
      </c>
      <c r="T315">
        <v>4</v>
      </c>
      <c r="U315">
        <v>1</v>
      </c>
      <c r="V315">
        <v>4</v>
      </c>
      <c r="W315">
        <v>0</v>
      </c>
      <c r="X315">
        <v>6</v>
      </c>
      <c r="Z315">
        <v>3</v>
      </c>
      <c r="AA315">
        <v>6</v>
      </c>
    </row>
    <row r="316" spans="1:27" x14ac:dyDescent="0.4">
      <c r="A316">
        <v>317</v>
      </c>
      <c r="B316">
        <v>317</v>
      </c>
      <c r="C316" t="s">
        <v>397</v>
      </c>
      <c r="D316">
        <v>4</v>
      </c>
      <c r="E316">
        <v>28</v>
      </c>
      <c r="F316">
        <v>18</v>
      </c>
      <c r="G316">
        <v>12</v>
      </c>
      <c r="H316">
        <v>0</v>
      </c>
      <c r="I316">
        <v>3</v>
      </c>
      <c r="J316">
        <v>0</v>
      </c>
      <c r="K316">
        <v>6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1</v>
      </c>
      <c r="R316">
        <v>0</v>
      </c>
      <c r="S316">
        <v>0</v>
      </c>
      <c r="T316">
        <v>4</v>
      </c>
      <c r="U316">
        <v>0</v>
      </c>
      <c r="V316">
        <v>10</v>
      </c>
      <c r="W316">
        <v>6</v>
      </c>
      <c r="X316">
        <v>4</v>
      </c>
      <c r="Z316">
        <v>0</v>
      </c>
      <c r="AA316">
        <v>0</v>
      </c>
    </row>
    <row r="317" spans="1:27" x14ac:dyDescent="0.4">
      <c r="A317">
        <v>318</v>
      </c>
      <c r="B317">
        <v>318</v>
      </c>
      <c r="C317" t="s">
        <v>398</v>
      </c>
      <c r="D317">
        <v>1</v>
      </c>
      <c r="E317">
        <v>1</v>
      </c>
      <c r="F317">
        <v>3</v>
      </c>
      <c r="G317">
        <v>3</v>
      </c>
      <c r="H317">
        <v>0</v>
      </c>
      <c r="I317">
        <v>21</v>
      </c>
      <c r="J317">
        <v>0</v>
      </c>
      <c r="K317">
        <v>5</v>
      </c>
      <c r="L317">
        <v>2</v>
      </c>
      <c r="M317">
        <v>0</v>
      </c>
      <c r="N317">
        <v>1</v>
      </c>
      <c r="O317">
        <v>0</v>
      </c>
      <c r="P317">
        <v>0</v>
      </c>
      <c r="Q317">
        <v>5</v>
      </c>
      <c r="R317">
        <v>0</v>
      </c>
      <c r="S317">
        <v>3</v>
      </c>
      <c r="T317">
        <v>5</v>
      </c>
      <c r="U317">
        <v>0</v>
      </c>
      <c r="V317">
        <v>18</v>
      </c>
      <c r="W317">
        <v>20</v>
      </c>
      <c r="X317">
        <v>6</v>
      </c>
      <c r="Z317">
        <v>0</v>
      </c>
      <c r="AA317">
        <v>0</v>
      </c>
    </row>
    <row r="318" spans="1:27" x14ac:dyDescent="0.4">
      <c r="A318">
        <v>319</v>
      </c>
      <c r="B318">
        <v>319</v>
      </c>
      <c r="C318" t="s">
        <v>399</v>
      </c>
      <c r="D318">
        <v>3</v>
      </c>
      <c r="E318">
        <v>5</v>
      </c>
      <c r="F318">
        <v>7</v>
      </c>
      <c r="G318">
        <v>7</v>
      </c>
      <c r="H318">
        <v>16</v>
      </c>
      <c r="I318">
        <v>0</v>
      </c>
      <c r="J318">
        <v>0</v>
      </c>
      <c r="K318">
        <v>3</v>
      </c>
      <c r="L318">
        <v>0</v>
      </c>
      <c r="M318">
        <v>2</v>
      </c>
      <c r="N318">
        <v>1</v>
      </c>
      <c r="O318">
        <v>0</v>
      </c>
      <c r="P318">
        <v>0</v>
      </c>
      <c r="Q318">
        <v>1</v>
      </c>
      <c r="R318">
        <v>12</v>
      </c>
      <c r="S318">
        <v>0</v>
      </c>
      <c r="T318">
        <v>4</v>
      </c>
      <c r="U318">
        <v>2</v>
      </c>
      <c r="V318">
        <v>5</v>
      </c>
      <c r="W318">
        <v>0</v>
      </c>
      <c r="X318">
        <v>4</v>
      </c>
      <c r="Z318">
        <v>5</v>
      </c>
      <c r="AA318">
        <v>5</v>
      </c>
    </row>
    <row r="319" spans="1:27" x14ac:dyDescent="0.4">
      <c r="A319">
        <v>320</v>
      </c>
      <c r="B319">
        <v>320</v>
      </c>
      <c r="C319" t="s">
        <v>400</v>
      </c>
      <c r="D319">
        <v>3</v>
      </c>
      <c r="E319">
        <v>5</v>
      </c>
      <c r="F319">
        <v>7</v>
      </c>
      <c r="G319">
        <v>7</v>
      </c>
      <c r="H319">
        <v>16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5</v>
      </c>
      <c r="R319">
        <v>11</v>
      </c>
      <c r="S319">
        <v>0</v>
      </c>
      <c r="T319">
        <v>4</v>
      </c>
      <c r="U319">
        <v>2</v>
      </c>
      <c r="V319">
        <v>6</v>
      </c>
      <c r="W319">
        <v>0</v>
      </c>
      <c r="X319">
        <v>5</v>
      </c>
      <c r="Z319">
        <v>5</v>
      </c>
      <c r="AA319">
        <v>6</v>
      </c>
    </row>
    <row r="320" spans="1:27" x14ac:dyDescent="0.4">
      <c r="A320">
        <v>322</v>
      </c>
      <c r="B320">
        <v>322</v>
      </c>
      <c r="C320" t="s">
        <v>401</v>
      </c>
      <c r="D320">
        <v>5</v>
      </c>
      <c r="E320">
        <v>43</v>
      </c>
      <c r="F320">
        <v>11</v>
      </c>
      <c r="G320">
        <v>10</v>
      </c>
      <c r="H320">
        <v>32</v>
      </c>
      <c r="I320">
        <v>2</v>
      </c>
      <c r="J320">
        <v>0</v>
      </c>
      <c r="K320">
        <v>4</v>
      </c>
      <c r="L320">
        <v>0</v>
      </c>
      <c r="M320">
        <v>6</v>
      </c>
      <c r="N320">
        <v>1</v>
      </c>
      <c r="O320">
        <v>7</v>
      </c>
      <c r="P320">
        <v>0</v>
      </c>
      <c r="Q320">
        <v>2</v>
      </c>
      <c r="R320">
        <v>10</v>
      </c>
      <c r="S320">
        <v>0</v>
      </c>
      <c r="T320">
        <v>6</v>
      </c>
      <c r="U320">
        <v>2</v>
      </c>
      <c r="V320">
        <v>3</v>
      </c>
      <c r="W320">
        <v>0</v>
      </c>
      <c r="X320">
        <v>5</v>
      </c>
      <c r="Z320">
        <v>5</v>
      </c>
      <c r="AA320">
        <v>8</v>
      </c>
    </row>
    <row r="321" spans="1:27" x14ac:dyDescent="0.4">
      <c r="A321">
        <v>323</v>
      </c>
      <c r="B321">
        <v>323</v>
      </c>
      <c r="C321" t="s">
        <v>402</v>
      </c>
      <c r="D321">
        <v>5</v>
      </c>
      <c r="E321">
        <v>43</v>
      </c>
      <c r="F321">
        <v>11</v>
      </c>
      <c r="G321">
        <v>10</v>
      </c>
      <c r="H321">
        <v>32</v>
      </c>
      <c r="I321">
        <v>2</v>
      </c>
      <c r="J321">
        <v>0</v>
      </c>
      <c r="K321">
        <v>5</v>
      </c>
      <c r="L321">
        <v>0</v>
      </c>
      <c r="M321">
        <v>7</v>
      </c>
      <c r="N321">
        <v>3</v>
      </c>
      <c r="O321">
        <v>8</v>
      </c>
      <c r="P321">
        <v>0</v>
      </c>
      <c r="Q321">
        <v>3</v>
      </c>
      <c r="R321">
        <v>11</v>
      </c>
      <c r="S321">
        <v>0</v>
      </c>
      <c r="T321">
        <v>7</v>
      </c>
      <c r="U321">
        <v>2</v>
      </c>
      <c r="V321">
        <v>3</v>
      </c>
      <c r="W321">
        <v>0</v>
      </c>
      <c r="X321">
        <v>5</v>
      </c>
      <c r="Z321">
        <v>5</v>
      </c>
      <c r="AA321">
        <v>8</v>
      </c>
    </row>
    <row r="322" spans="1:27" x14ac:dyDescent="0.4">
      <c r="A322">
        <v>324</v>
      </c>
      <c r="B322">
        <v>324</v>
      </c>
      <c r="C322" t="s">
        <v>404</v>
      </c>
      <c r="D322">
        <v>3</v>
      </c>
      <c r="E322">
        <v>15</v>
      </c>
      <c r="F322">
        <v>25</v>
      </c>
      <c r="G322">
        <v>21</v>
      </c>
      <c r="H322">
        <v>0</v>
      </c>
      <c r="I322">
        <v>1</v>
      </c>
      <c r="J322">
        <v>0</v>
      </c>
      <c r="K322">
        <v>0</v>
      </c>
      <c r="L322">
        <v>0</v>
      </c>
      <c r="M322">
        <v>10</v>
      </c>
      <c r="N322">
        <v>0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4</v>
      </c>
      <c r="U322">
        <v>1</v>
      </c>
      <c r="V322">
        <v>2</v>
      </c>
      <c r="W322">
        <v>0</v>
      </c>
      <c r="X322">
        <v>4</v>
      </c>
      <c r="Z322">
        <v>0</v>
      </c>
      <c r="AA322">
        <v>0</v>
      </c>
    </row>
    <row r="323" spans="1:27" x14ac:dyDescent="0.4">
      <c r="A323">
        <v>325</v>
      </c>
      <c r="B323">
        <v>325</v>
      </c>
      <c r="C323" t="s">
        <v>405</v>
      </c>
      <c r="D323">
        <v>3</v>
      </c>
      <c r="E323">
        <v>15</v>
      </c>
      <c r="F323">
        <v>25</v>
      </c>
      <c r="G323">
        <v>21</v>
      </c>
      <c r="H323">
        <v>0</v>
      </c>
      <c r="I323">
        <v>1</v>
      </c>
      <c r="J323">
        <v>0</v>
      </c>
      <c r="K323">
        <v>0</v>
      </c>
      <c r="L323">
        <v>0</v>
      </c>
      <c r="M323">
        <v>11</v>
      </c>
      <c r="N323">
        <v>0</v>
      </c>
      <c r="O323">
        <v>1</v>
      </c>
      <c r="P323">
        <v>0</v>
      </c>
      <c r="Q323">
        <v>1</v>
      </c>
      <c r="R323">
        <v>0</v>
      </c>
      <c r="S323">
        <v>0</v>
      </c>
      <c r="T323">
        <v>5</v>
      </c>
      <c r="U323">
        <v>1</v>
      </c>
      <c r="V323">
        <v>3</v>
      </c>
      <c r="W323">
        <v>0</v>
      </c>
      <c r="X323">
        <v>4</v>
      </c>
      <c r="Z323">
        <v>0</v>
      </c>
      <c r="AA323">
        <v>0</v>
      </c>
    </row>
    <row r="324" spans="1:27" x14ac:dyDescent="0.4">
      <c r="A324">
        <v>326</v>
      </c>
      <c r="B324">
        <v>326</v>
      </c>
      <c r="C324" t="s">
        <v>406</v>
      </c>
      <c r="D324">
        <v>3</v>
      </c>
      <c r="E324">
        <v>44</v>
      </c>
      <c r="F324">
        <v>25</v>
      </c>
      <c r="G324">
        <v>21</v>
      </c>
      <c r="H324">
        <v>0</v>
      </c>
      <c r="I324">
        <v>2</v>
      </c>
      <c r="J324">
        <v>0</v>
      </c>
      <c r="K324">
        <v>0</v>
      </c>
      <c r="L324">
        <v>0</v>
      </c>
      <c r="M324">
        <v>12</v>
      </c>
      <c r="N324">
        <v>0</v>
      </c>
      <c r="O324">
        <v>3</v>
      </c>
      <c r="P324">
        <v>0</v>
      </c>
      <c r="Q324">
        <v>2</v>
      </c>
      <c r="R324">
        <v>0</v>
      </c>
      <c r="S324">
        <v>0</v>
      </c>
      <c r="T324">
        <v>6</v>
      </c>
      <c r="U324">
        <v>2</v>
      </c>
      <c r="V324">
        <v>3</v>
      </c>
      <c r="W324">
        <v>0</v>
      </c>
      <c r="X324">
        <v>5</v>
      </c>
      <c r="Z324">
        <v>0</v>
      </c>
      <c r="AA324">
        <v>0</v>
      </c>
    </row>
    <row r="325" spans="1:27" x14ac:dyDescent="0.4">
      <c r="A325">
        <v>327</v>
      </c>
      <c r="B325">
        <v>327</v>
      </c>
      <c r="C325" t="s">
        <v>407</v>
      </c>
      <c r="D325">
        <v>3</v>
      </c>
      <c r="E325">
        <v>44</v>
      </c>
      <c r="F325">
        <v>25</v>
      </c>
      <c r="G325">
        <v>21</v>
      </c>
      <c r="H325">
        <v>0</v>
      </c>
      <c r="I325">
        <v>2</v>
      </c>
      <c r="J325">
        <v>0</v>
      </c>
      <c r="K325">
        <v>0</v>
      </c>
      <c r="L325">
        <v>0</v>
      </c>
      <c r="M325">
        <v>13</v>
      </c>
      <c r="N325">
        <v>0</v>
      </c>
      <c r="O325">
        <v>4</v>
      </c>
      <c r="P325">
        <v>0</v>
      </c>
      <c r="Q325">
        <v>3</v>
      </c>
      <c r="R325">
        <v>0</v>
      </c>
      <c r="S325">
        <v>0</v>
      </c>
      <c r="T325">
        <v>7</v>
      </c>
      <c r="U325">
        <v>2</v>
      </c>
      <c r="V325">
        <v>3</v>
      </c>
      <c r="W325">
        <v>0</v>
      </c>
      <c r="X325">
        <v>6</v>
      </c>
      <c r="Z325">
        <v>0</v>
      </c>
      <c r="AA325">
        <v>0</v>
      </c>
    </row>
    <row r="326" spans="1:27" x14ac:dyDescent="0.4">
      <c r="A326">
        <v>328</v>
      </c>
      <c r="B326">
        <v>328</v>
      </c>
      <c r="C326" t="s">
        <v>408</v>
      </c>
      <c r="D326">
        <v>1</v>
      </c>
      <c r="E326">
        <v>1</v>
      </c>
      <c r="F326">
        <v>3</v>
      </c>
      <c r="G326">
        <v>3</v>
      </c>
      <c r="H326">
        <v>0</v>
      </c>
      <c r="I326">
        <v>16</v>
      </c>
      <c r="J326">
        <v>0</v>
      </c>
      <c r="K326">
        <v>4</v>
      </c>
      <c r="L326">
        <v>2</v>
      </c>
      <c r="M326">
        <v>0</v>
      </c>
      <c r="N326">
        <v>2</v>
      </c>
      <c r="O326">
        <v>0</v>
      </c>
      <c r="P326">
        <v>0</v>
      </c>
      <c r="Q326">
        <v>3</v>
      </c>
      <c r="R326">
        <v>0</v>
      </c>
      <c r="S326">
        <v>3</v>
      </c>
      <c r="T326">
        <v>3</v>
      </c>
      <c r="U326">
        <v>0</v>
      </c>
      <c r="V326">
        <v>11</v>
      </c>
      <c r="W326">
        <v>16</v>
      </c>
      <c r="X326">
        <v>1</v>
      </c>
      <c r="Z326">
        <v>0</v>
      </c>
      <c r="AA326">
        <v>0</v>
      </c>
    </row>
    <row r="327" spans="1:27" x14ac:dyDescent="0.4">
      <c r="A327">
        <v>329</v>
      </c>
      <c r="B327">
        <v>329</v>
      </c>
      <c r="C327" t="s">
        <v>409</v>
      </c>
      <c r="D327">
        <v>1</v>
      </c>
      <c r="E327">
        <v>1</v>
      </c>
      <c r="F327">
        <v>3</v>
      </c>
      <c r="G327">
        <v>3</v>
      </c>
      <c r="H327">
        <v>0</v>
      </c>
      <c r="I327">
        <v>17</v>
      </c>
      <c r="J327">
        <v>0</v>
      </c>
      <c r="K327">
        <v>5</v>
      </c>
      <c r="L327">
        <v>2</v>
      </c>
      <c r="M327">
        <v>0</v>
      </c>
      <c r="N327">
        <v>2</v>
      </c>
      <c r="O327">
        <v>0</v>
      </c>
      <c r="P327">
        <v>0</v>
      </c>
      <c r="Q327">
        <v>5</v>
      </c>
      <c r="R327">
        <v>0</v>
      </c>
      <c r="S327">
        <v>3</v>
      </c>
      <c r="T327">
        <v>4</v>
      </c>
      <c r="U327">
        <v>0</v>
      </c>
      <c r="V327">
        <v>11</v>
      </c>
      <c r="W327">
        <v>18</v>
      </c>
      <c r="X327">
        <v>5</v>
      </c>
      <c r="Z327">
        <v>0</v>
      </c>
      <c r="AA327">
        <v>0</v>
      </c>
    </row>
    <row r="328" spans="1:27" x14ac:dyDescent="0.4">
      <c r="A328">
        <v>330</v>
      </c>
      <c r="B328">
        <v>330</v>
      </c>
      <c r="C328" t="s">
        <v>410</v>
      </c>
      <c r="D328">
        <v>1</v>
      </c>
      <c r="E328">
        <v>1</v>
      </c>
      <c r="F328">
        <v>3</v>
      </c>
      <c r="G328">
        <v>3</v>
      </c>
      <c r="H328">
        <v>0</v>
      </c>
      <c r="I328">
        <v>20</v>
      </c>
      <c r="J328">
        <v>0</v>
      </c>
      <c r="K328">
        <v>0</v>
      </c>
      <c r="L328">
        <v>1</v>
      </c>
      <c r="M328">
        <v>0</v>
      </c>
      <c r="N328">
        <v>1</v>
      </c>
      <c r="O328">
        <v>0</v>
      </c>
      <c r="P328">
        <v>0</v>
      </c>
      <c r="Q328">
        <v>1</v>
      </c>
      <c r="R328">
        <v>0</v>
      </c>
      <c r="S328">
        <v>3</v>
      </c>
      <c r="T328">
        <v>2</v>
      </c>
      <c r="U328">
        <v>0</v>
      </c>
      <c r="V328">
        <v>12</v>
      </c>
      <c r="W328">
        <v>20</v>
      </c>
      <c r="X328">
        <v>0</v>
      </c>
      <c r="Z328">
        <v>0</v>
      </c>
      <c r="AA328">
        <v>0</v>
      </c>
    </row>
    <row r="329" spans="1:27" x14ac:dyDescent="0.4">
      <c r="A329">
        <v>331</v>
      </c>
      <c r="B329">
        <v>331</v>
      </c>
      <c r="C329" t="s">
        <v>411</v>
      </c>
      <c r="D329">
        <v>1</v>
      </c>
      <c r="E329">
        <v>1</v>
      </c>
      <c r="F329">
        <v>3</v>
      </c>
      <c r="G329">
        <v>3</v>
      </c>
      <c r="H329">
        <v>0</v>
      </c>
      <c r="I329">
        <v>21</v>
      </c>
      <c r="J329">
        <v>0</v>
      </c>
      <c r="K329">
        <v>2</v>
      </c>
      <c r="L329">
        <v>2</v>
      </c>
      <c r="M329">
        <v>0</v>
      </c>
      <c r="N329">
        <v>1</v>
      </c>
      <c r="O329">
        <v>0</v>
      </c>
      <c r="P329">
        <v>0</v>
      </c>
      <c r="Q329">
        <v>2</v>
      </c>
      <c r="R329">
        <v>0</v>
      </c>
      <c r="S329">
        <v>3</v>
      </c>
      <c r="T329">
        <v>3</v>
      </c>
      <c r="U329">
        <v>0</v>
      </c>
      <c r="V329">
        <v>13</v>
      </c>
      <c r="W329">
        <v>21</v>
      </c>
      <c r="X329">
        <v>2</v>
      </c>
      <c r="Z329">
        <v>0</v>
      </c>
      <c r="AA329">
        <v>0</v>
      </c>
    </row>
    <row r="330" spans="1:27" x14ac:dyDescent="0.4">
      <c r="A330">
        <v>332</v>
      </c>
      <c r="B330">
        <v>332</v>
      </c>
      <c r="C330" t="s">
        <v>412</v>
      </c>
      <c r="D330">
        <v>1</v>
      </c>
      <c r="E330">
        <v>1</v>
      </c>
      <c r="F330">
        <v>3</v>
      </c>
      <c r="G330">
        <v>3</v>
      </c>
      <c r="H330">
        <v>0</v>
      </c>
      <c r="I330">
        <v>21</v>
      </c>
      <c r="J330">
        <v>0</v>
      </c>
      <c r="K330">
        <v>6</v>
      </c>
      <c r="L330">
        <v>2</v>
      </c>
      <c r="M330">
        <v>0</v>
      </c>
      <c r="N330">
        <v>2</v>
      </c>
      <c r="O330">
        <v>0</v>
      </c>
      <c r="P330">
        <v>0</v>
      </c>
      <c r="Q330">
        <v>4</v>
      </c>
      <c r="R330">
        <v>0</v>
      </c>
      <c r="S330">
        <v>3</v>
      </c>
      <c r="T330">
        <v>4</v>
      </c>
      <c r="U330">
        <v>0</v>
      </c>
      <c r="V330">
        <v>15</v>
      </c>
      <c r="W330">
        <v>22</v>
      </c>
      <c r="X330">
        <v>6</v>
      </c>
      <c r="Z330">
        <v>0</v>
      </c>
      <c r="AA330">
        <v>0</v>
      </c>
    </row>
    <row r="331" spans="1:27" x14ac:dyDescent="0.4">
      <c r="A331">
        <v>333</v>
      </c>
      <c r="B331">
        <v>333</v>
      </c>
      <c r="C331" t="s">
        <v>413</v>
      </c>
      <c r="D331">
        <v>22</v>
      </c>
      <c r="E331">
        <v>39</v>
      </c>
      <c r="F331">
        <v>48</v>
      </c>
      <c r="G331">
        <v>38</v>
      </c>
      <c r="H331">
        <v>34</v>
      </c>
      <c r="I331">
        <v>0</v>
      </c>
      <c r="J331">
        <v>0</v>
      </c>
      <c r="K331">
        <v>10</v>
      </c>
      <c r="L331">
        <v>1</v>
      </c>
      <c r="M331">
        <v>0</v>
      </c>
      <c r="N331">
        <v>2</v>
      </c>
      <c r="O331">
        <v>0</v>
      </c>
      <c r="P331">
        <v>0</v>
      </c>
      <c r="Q331">
        <v>6</v>
      </c>
      <c r="R331">
        <v>0</v>
      </c>
      <c r="S331">
        <v>0</v>
      </c>
      <c r="T331">
        <v>4</v>
      </c>
      <c r="U331">
        <v>2</v>
      </c>
      <c r="V331">
        <v>4</v>
      </c>
      <c r="W331">
        <v>0</v>
      </c>
      <c r="X331">
        <v>9</v>
      </c>
      <c r="Z331">
        <v>4</v>
      </c>
      <c r="AA331">
        <v>9</v>
      </c>
    </row>
    <row r="332" spans="1:27" x14ac:dyDescent="0.4">
      <c r="A332">
        <v>334</v>
      </c>
      <c r="B332">
        <v>334</v>
      </c>
      <c r="C332" t="s">
        <v>414</v>
      </c>
      <c r="D332">
        <v>22</v>
      </c>
      <c r="E332">
        <v>39</v>
      </c>
      <c r="F332">
        <v>48</v>
      </c>
      <c r="G332">
        <v>38</v>
      </c>
      <c r="H332">
        <v>34</v>
      </c>
      <c r="I332">
        <v>0</v>
      </c>
      <c r="J332">
        <v>0</v>
      </c>
      <c r="K332">
        <v>11</v>
      </c>
      <c r="L332">
        <v>1</v>
      </c>
      <c r="M332">
        <v>0</v>
      </c>
      <c r="N332">
        <v>3</v>
      </c>
      <c r="O332">
        <v>0</v>
      </c>
      <c r="P332">
        <v>0</v>
      </c>
      <c r="Q332">
        <v>7</v>
      </c>
      <c r="R332">
        <v>0</v>
      </c>
      <c r="S332">
        <v>0</v>
      </c>
      <c r="T332">
        <v>5</v>
      </c>
      <c r="U332">
        <v>3</v>
      </c>
      <c r="V332">
        <v>4</v>
      </c>
      <c r="W332">
        <v>0</v>
      </c>
      <c r="X332">
        <v>9</v>
      </c>
      <c r="Z332">
        <v>4</v>
      </c>
      <c r="AA332">
        <v>9</v>
      </c>
    </row>
    <row r="333" spans="1:27" x14ac:dyDescent="0.4">
      <c r="A333">
        <v>335</v>
      </c>
      <c r="B333">
        <v>335</v>
      </c>
      <c r="C333" t="s">
        <v>415</v>
      </c>
      <c r="D333">
        <v>3</v>
      </c>
      <c r="E333">
        <v>5</v>
      </c>
      <c r="F333">
        <v>6</v>
      </c>
      <c r="G333">
        <v>6</v>
      </c>
      <c r="H333">
        <v>34</v>
      </c>
      <c r="I333">
        <v>1</v>
      </c>
      <c r="J333">
        <v>0</v>
      </c>
      <c r="K333">
        <v>10</v>
      </c>
      <c r="L333">
        <v>1</v>
      </c>
      <c r="M333">
        <v>0</v>
      </c>
      <c r="N333">
        <v>3</v>
      </c>
      <c r="O333">
        <v>0</v>
      </c>
      <c r="P333">
        <v>0</v>
      </c>
      <c r="Q333">
        <v>2</v>
      </c>
      <c r="R333">
        <v>0</v>
      </c>
      <c r="S333">
        <v>0</v>
      </c>
      <c r="T333">
        <v>4</v>
      </c>
      <c r="U333">
        <v>3</v>
      </c>
      <c r="V333">
        <v>4</v>
      </c>
      <c r="W333">
        <v>0</v>
      </c>
      <c r="X333">
        <v>9</v>
      </c>
      <c r="Z333">
        <v>4</v>
      </c>
      <c r="AA333">
        <v>10</v>
      </c>
    </row>
    <row r="334" spans="1:27" x14ac:dyDescent="0.4">
      <c r="A334">
        <v>336</v>
      </c>
      <c r="B334">
        <v>336</v>
      </c>
      <c r="C334" t="s">
        <v>416</v>
      </c>
      <c r="D334">
        <v>3</v>
      </c>
      <c r="E334">
        <v>5</v>
      </c>
      <c r="F334">
        <v>6</v>
      </c>
      <c r="G334">
        <v>6</v>
      </c>
      <c r="H334">
        <v>34</v>
      </c>
      <c r="I334">
        <v>1</v>
      </c>
      <c r="J334">
        <v>0</v>
      </c>
      <c r="K334">
        <v>13</v>
      </c>
      <c r="L334">
        <v>0</v>
      </c>
      <c r="M334">
        <v>0</v>
      </c>
      <c r="N334">
        <v>1</v>
      </c>
      <c r="O334">
        <v>0</v>
      </c>
      <c r="P334">
        <v>0</v>
      </c>
      <c r="Q334">
        <v>2</v>
      </c>
      <c r="R334">
        <v>0</v>
      </c>
      <c r="S334">
        <v>0</v>
      </c>
      <c r="T334">
        <v>5</v>
      </c>
      <c r="U334">
        <v>3</v>
      </c>
      <c r="V334">
        <v>3</v>
      </c>
      <c r="W334">
        <v>0</v>
      </c>
      <c r="X334">
        <v>10</v>
      </c>
      <c r="Z334">
        <v>5</v>
      </c>
      <c r="AA334">
        <v>10</v>
      </c>
    </row>
    <row r="335" spans="1:27" x14ac:dyDescent="0.4">
      <c r="A335">
        <v>337</v>
      </c>
      <c r="B335">
        <v>337</v>
      </c>
      <c r="C335" t="s">
        <v>417</v>
      </c>
      <c r="D335">
        <v>3</v>
      </c>
      <c r="E335">
        <v>5</v>
      </c>
      <c r="F335">
        <v>6</v>
      </c>
      <c r="G335">
        <v>6</v>
      </c>
      <c r="H335">
        <v>34</v>
      </c>
      <c r="I335">
        <v>2</v>
      </c>
      <c r="J335">
        <v>0</v>
      </c>
      <c r="K335">
        <v>14</v>
      </c>
      <c r="L335">
        <v>0</v>
      </c>
      <c r="M335">
        <v>0</v>
      </c>
      <c r="N335">
        <v>1</v>
      </c>
      <c r="O335">
        <v>0</v>
      </c>
      <c r="P335">
        <v>0</v>
      </c>
      <c r="Q335">
        <v>2</v>
      </c>
      <c r="R335">
        <v>0</v>
      </c>
      <c r="S335">
        <v>0</v>
      </c>
      <c r="T335">
        <v>6</v>
      </c>
      <c r="U335">
        <v>3</v>
      </c>
      <c r="V335">
        <v>3</v>
      </c>
      <c r="W335">
        <v>0</v>
      </c>
      <c r="X335">
        <v>10</v>
      </c>
      <c r="Z335">
        <v>6</v>
      </c>
      <c r="AA335">
        <v>10</v>
      </c>
    </row>
    <row r="336" spans="1:27" x14ac:dyDescent="0.4">
      <c r="A336">
        <v>338</v>
      </c>
      <c r="B336">
        <v>338</v>
      </c>
      <c r="C336" t="s">
        <v>418</v>
      </c>
      <c r="D336">
        <v>3</v>
      </c>
      <c r="E336">
        <v>5</v>
      </c>
      <c r="F336">
        <v>6</v>
      </c>
      <c r="G336">
        <v>45</v>
      </c>
      <c r="H336">
        <v>34</v>
      </c>
      <c r="I336">
        <v>2</v>
      </c>
      <c r="J336">
        <v>0</v>
      </c>
      <c r="K336">
        <v>11</v>
      </c>
      <c r="L336">
        <v>0</v>
      </c>
      <c r="M336">
        <v>0</v>
      </c>
      <c r="N336">
        <v>2</v>
      </c>
      <c r="O336">
        <v>1</v>
      </c>
      <c r="P336">
        <v>0</v>
      </c>
      <c r="Q336">
        <v>0</v>
      </c>
      <c r="R336">
        <v>0</v>
      </c>
      <c r="S336">
        <v>0</v>
      </c>
      <c r="T336">
        <v>6</v>
      </c>
      <c r="U336">
        <v>3</v>
      </c>
      <c r="V336">
        <v>3</v>
      </c>
      <c r="W336">
        <v>0</v>
      </c>
      <c r="X336">
        <v>11</v>
      </c>
      <c r="Z336">
        <v>5</v>
      </c>
      <c r="AA336">
        <v>11</v>
      </c>
    </row>
    <row r="337" spans="1:27" x14ac:dyDescent="0.4">
      <c r="A337">
        <v>339</v>
      </c>
      <c r="B337">
        <v>339</v>
      </c>
      <c r="C337" t="s">
        <v>419</v>
      </c>
      <c r="D337">
        <v>3</v>
      </c>
      <c r="E337">
        <v>5</v>
      </c>
      <c r="F337">
        <v>6</v>
      </c>
      <c r="G337">
        <v>45</v>
      </c>
      <c r="H337">
        <v>34</v>
      </c>
      <c r="I337">
        <v>2</v>
      </c>
      <c r="J337">
        <v>0</v>
      </c>
      <c r="K337">
        <v>12</v>
      </c>
      <c r="L337">
        <v>0</v>
      </c>
      <c r="M337">
        <v>0</v>
      </c>
      <c r="N337">
        <v>3</v>
      </c>
      <c r="O337">
        <v>1</v>
      </c>
      <c r="P337">
        <v>0</v>
      </c>
      <c r="Q337">
        <v>0</v>
      </c>
      <c r="R337">
        <v>0</v>
      </c>
      <c r="S337">
        <v>0</v>
      </c>
      <c r="T337">
        <v>7</v>
      </c>
      <c r="U337">
        <v>3</v>
      </c>
      <c r="V337">
        <v>4</v>
      </c>
      <c r="W337">
        <v>0</v>
      </c>
      <c r="X337">
        <v>11</v>
      </c>
      <c r="Z337">
        <v>6</v>
      </c>
      <c r="AA337">
        <v>11</v>
      </c>
    </row>
    <row r="338" spans="1:27" x14ac:dyDescent="0.4">
      <c r="A338">
        <v>340</v>
      </c>
      <c r="B338">
        <v>340</v>
      </c>
      <c r="C338" t="s">
        <v>420</v>
      </c>
      <c r="D338">
        <v>1</v>
      </c>
      <c r="E338">
        <v>1</v>
      </c>
      <c r="F338">
        <v>2</v>
      </c>
      <c r="G338">
        <v>2</v>
      </c>
      <c r="H338">
        <v>0</v>
      </c>
      <c r="I338">
        <v>8</v>
      </c>
      <c r="J338">
        <v>0</v>
      </c>
      <c r="K338">
        <v>2</v>
      </c>
      <c r="L338">
        <v>1</v>
      </c>
      <c r="M338">
        <v>0</v>
      </c>
      <c r="N338">
        <v>0</v>
      </c>
      <c r="O338">
        <v>0</v>
      </c>
      <c r="P338">
        <v>0</v>
      </c>
      <c r="Q338">
        <v>1</v>
      </c>
      <c r="R338">
        <v>0</v>
      </c>
      <c r="S338">
        <v>2</v>
      </c>
      <c r="T338">
        <v>3</v>
      </c>
      <c r="U338">
        <v>0</v>
      </c>
      <c r="V338">
        <v>3</v>
      </c>
      <c r="W338">
        <v>5</v>
      </c>
      <c r="X338">
        <v>1</v>
      </c>
      <c r="Z338">
        <v>0</v>
      </c>
      <c r="AA338">
        <v>0</v>
      </c>
    </row>
    <row r="339" spans="1:27" x14ac:dyDescent="0.4">
      <c r="A339">
        <v>341</v>
      </c>
      <c r="B339">
        <v>341</v>
      </c>
      <c r="C339" t="s">
        <v>421</v>
      </c>
      <c r="D339">
        <v>1</v>
      </c>
      <c r="E339">
        <v>1</v>
      </c>
      <c r="F339">
        <v>2</v>
      </c>
      <c r="G339">
        <v>2</v>
      </c>
      <c r="H339">
        <v>0</v>
      </c>
      <c r="I339">
        <v>9</v>
      </c>
      <c r="J339">
        <v>0</v>
      </c>
      <c r="K339">
        <v>3</v>
      </c>
      <c r="L339">
        <v>1</v>
      </c>
      <c r="M339">
        <v>0</v>
      </c>
      <c r="N339">
        <v>1</v>
      </c>
      <c r="O339">
        <v>0</v>
      </c>
      <c r="P339">
        <v>0</v>
      </c>
      <c r="Q339">
        <v>2</v>
      </c>
      <c r="R339">
        <v>0</v>
      </c>
      <c r="S339">
        <v>2</v>
      </c>
      <c r="T339">
        <v>4</v>
      </c>
      <c r="U339">
        <v>0</v>
      </c>
      <c r="V339">
        <v>4</v>
      </c>
      <c r="W339">
        <v>5</v>
      </c>
      <c r="X339">
        <v>2</v>
      </c>
      <c r="Z339">
        <v>0</v>
      </c>
      <c r="AA339">
        <v>0</v>
      </c>
    </row>
    <row r="340" spans="1:27" x14ac:dyDescent="0.4">
      <c r="A340">
        <v>342</v>
      </c>
      <c r="B340">
        <v>342</v>
      </c>
      <c r="C340" t="s">
        <v>422</v>
      </c>
      <c r="D340">
        <v>3</v>
      </c>
      <c r="E340">
        <v>5</v>
      </c>
      <c r="F340">
        <v>8</v>
      </c>
      <c r="G340">
        <v>8</v>
      </c>
      <c r="H340">
        <v>33</v>
      </c>
      <c r="I340">
        <v>0</v>
      </c>
      <c r="J340">
        <v>14</v>
      </c>
      <c r="K340">
        <v>2</v>
      </c>
      <c r="L340">
        <v>0</v>
      </c>
      <c r="M340">
        <v>6</v>
      </c>
      <c r="N340">
        <v>0</v>
      </c>
      <c r="O340">
        <v>4</v>
      </c>
      <c r="P340">
        <v>0</v>
      </c>
      <c r="Q340">
        <v>1</v>
      </c>
      <c r="R340">
        <v>0</v>
      </c>
      <c r="S340">
        <v>0</v>
      </c>
      <c r="T340">
        <v>5</v>
      </c>
      <c r="U340">
        <v>2</v>
      </c>
      <c r="V340">
        <v>6</v>
      </c>
      <c r="W340">
        <v>0</v>
      </c>
      <c r="X340">
        <v>11</v>
      </c>
      <c r="Z340">
        <v>6</v>
      </c>
      <c r="AA340">
        <v>9</v>
      </c>
    </row>
    <row r="341" spans="1:27" x14ac:dyDescent="0.4">
      <c r="A341">
        <v>343</v>
      </c>
      <c r="B341">
        <v>343</v>
      </c>
      <c r="C341" t="s">
        <v>423</v>
      </c>
      <c r="D341">
        <v>3</v>
      </c>
      <c r="E341">
        <v>5</v>
      </c>
      <c r="F341">
        <v>8</v>
      </c>
      <c r="G341">
        <v>8</v>
      </c>
      <c r="H341">
        <v>33</v>
      </c>
      <c r="I341">
        <v>0</v>
      </c>
      <c r="J341">
        <v>15</v>
      </c>
      <c r="K341">
        <v>3</v>
      </c>
      <c r="L341">
        <v>0</v>
      </c>
      <c r="M341">
        <v>7</v>
      </c>
      <c r="N341">
        <v>0</v>
      </c>
      <c r="O341">
        <v>6</v>
      </c>
      <c r="P341">
        <v>0</v>
      </c>
      <c r="Q341">
        <v>2</v>
      </c>
      <c r="R341">
        <v>0</v>
      </c>
      <c r="S341">
        <v>0</v>
      </c>
      <c r="T341">
        <v>6</v>
      </c>
      <c r="U341">
        <v>2</v>
      </c>
      <c r="V341">
        <v>6</v>
      </c>
      <c r="W341">
        <v>0</v>
      </c>
      <c r="X341">
        <v>11</v>
      </c>
      <c r="Z341">
        <v>6</v>
      </c>
      <c r="AA341">
        <v>9</v>
      </c>
    </row>
    <row r="342" spans="1:27" x14ac:dyDescent="0.4">
      <c r="A342">
        <v>344</v>
      </c>
      <c r="B342">
        <v>344</v>
      </c>
      <c r="C342" t="s">
        <v>424</v>
      </c>
      <c r="D342">
        <v>3</v>
      </c>
      <c r="E342">
        <v>5</v>
      </c>
      <c r="F342">
        <v>8</v>
      </c>
      <c r="G342">
        <v>46</v>
      </c>
      <c r="H342">
        <v>11</v>
      </c>
      <c r="I342">
        <v>0</v>
      </c>
      <c r="J342">
        <v>7</v>
      </c>
      <c r="K342">
        <v>0</v>
      </c>
      <c r="L342">
        <v>0</v>
      </c>
      <c r="M342">
        <v>6</v>
      </c>
      <c r="N342">
        <v>0</v>
      </c>
      <c r="O342">
        <v>4</v>
      </c>
      <c r="P342">
        <v>0</v>
      </c>
      <c r="Q342">
        <v>1</v>
      </c>
      <c r="R342">
        <v>0</v>
      </c>
      <c r="S342">
        <v>0</v>
      </c>
      <c r="T342">
        <v>3</v>
      </c>
      <c r="U342">
        <v>2</v>
      </c>
      <c r="V342">
        <v>4</v>
      </c>
      <c r="W342">
        <v>0</v>
      </c>
      <c r="X342">
        <v>5</v>
      </c>
      <c r="Z342">
        <v>4</v>
      </c>
      <c r="AA342">
        <v>6</v>
      </c>
    </row>
    <row r="343" spans="1:27" x14ac:dyDescent="0.4">
      <c r="A343">
        <v>345</v>
      </c>
      <c r="B343">
        <v>345</v>
      </c>
      <c r="C343" t="s">
        <v>425</v>
      </c>
      <c r="D343">
        <v>3</v>
      </c>
      <c r="E343">
        <v>5</v>
      </c>
      <c r="F343">
        <v>8</v>
      </c>
      <c r="G343">
        <v>46</v>
      </c>
      <c r="H343">
        <v>11</v>
      </c>
      <c r="I343">
        <v>0</v>
      </c>
      <c r="J343">
        <v>9</v>
      </c>
      <c r="K343">
        <v>0</v>
      </c>
      <c r="L343">
        <v>0</v>
      </c>
      <c r="M343">
        <v>7</v>
      </c>
      <c r="N343">
        <v>0</v>
      </c>
      <c r="O343">
        <v>5</v>
      </c>
      <c r="P343">
        <v>0</v>
      </c>
      <c r="Q343">
        <v>2</v>
      </c>
      <c r="R343">
        <v>0</v>
      </c>
      <c r="S343">
        <v>0</v>
      </c>
      <c r="T343">
        <v>4</v>
      </c>
      <c r="U343">
        <v>2</v>
      </c>
      <c r="V343">
        <v>4</v>
      </c>
      <c r="W343">
        <v>0</v>
      </c>
      <c r="X343">
        <v>5</v>
      </c>
      <c r="Z343">
        <v>4</v>
      </c>
      <c r="AA343">
        <v>6</v>
      </c>
    </row>
    <row r="344" spans="1:27" x14ac:dyDescent="0.4">
      <c r="A344">
        <v>346</v>
      </c>
      <c r="B344">
        <v>346</v>
      </c>
      <c r="C344" t="s">
        <v>426</v>
      </c>
      <c r="D344">
        <v>7</v>
      </c>
      <c r="E344">
        <v>32</v>
      </c>
      <c r="F344">
        <v>15</v>
      </c>
      <c r="G344">
        <v>17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3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3</v>
      </c>
      <c r="U344">
        <v>1</v>
      </c>
      <c r="V344">
        <v>2</v>
      </c>
      <c r="W344">
        <v>1</v>
      </c>
      <c r="X344">
        <v>1</v>
      </c>
      <c r="Z344">
        <v>0</v>
      </c>
      <c r="AA344">
        <v>0</v>
      </c>
    </row>
    <row r="345" spans="1:27" x14ac:dyDescent="0.4">
      <c r="A345">
        <v>347</v>
      </c>
      <c r="B345">
        <v>347</v>
      </c>
      <c r="C345" t="s">
        <v>427</v>
      </c>
      <c r="D345">
        <v>7</v>
      </c>
      <c r="E345">
        <v>32</v>
      </c>
      <c r="F345">
        <v>15</v>
      </c>
      <c r="G345">
        <v>17</v>
      </c>
      <c r="H345">
        <v>0</v>
      </c>
      <c r="I345">
        <v>0</v>
      </c>
      <c r="J345">
        <v>0</v>
      </c>
      <c r="K345">
        <v>0</v>
      </c>
      <c r="L345">
        <v>-1</v>
      </c>
      <c r="M345">
        <v>7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4</v>
      </c>
      <c r="U345">
        <v>1</v>
      </c>
      <c r="V345">
        <v>4</v>
      </c>
      <c r="W345">
        <v>2</v>
      </c>
      <c r="X345">
        <v>1</v>
      </c>
      <c r="Z345">
        <v>0</v>
      </c>
      <c r="AA345">
        <v>0</v>
      </c>
    </row>
    <row r="346" spans="1:27" x14ac:dyDescent="0.4">
      <c r="A346">
        <v>348</v>
      </c>
      <c r="B346">
        <v>348</v>
      </c>
      <c r="C346" t="s">
        <v>428</v>
      </c>
      <c r="D346">
        <v>15</v>
      </c>
      <c r="E346">
        <v>26</v>
      </c>
      <c r="F346">
        <v>37</v>
      </c>
      <c r="G346">
        <v>31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4</v>
      </c>
      <c r="U346">
        <v>1</v>
      </c>
      <c r="V346">
        <v>3</v>
      </c>
      <c r="W346">
        <v>1</v>
      </c>
      <c r="X346">
        <v>1</v>
      </c>
      <c r="Z346">
        <v>0</v>
      </c>
      <c r="AA346">
        <v>0</v>
      </c>
    </row>
    <row r="347" spans="1:27" x14ac:dyDescent="0.4">
      <c r="A347">
        <v>349</v>
      </c>
      <c r="B347">
        <v>349</v>
      </c>
      <c r="C347" t="s">
        <v>429</v>
      </c>
      <c r="D347">
        <v>15</v>
      </c>
      <c r="E347">
        <v>26</v>
      </c>
      <c r="F347">
        <v>37</v>
      </c>
      <c r="G347">
        <v>31</v>
      </c>
      <c r="H347">
        <v>0</v>
      </c>
      <c r="I347">
        <v>1</v>
      </c>
      <c r="J347">
        <v>0</v>
      </c>
      <c r="K347">
        <v>0</v>
      </c>
      <c r="L347">
        <v>-4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5</v>
      </c>
      <c r="U347">
        <v>1</v>
      </c>
      <c r="V347">
        <v>6</v>
      </c>
      <c r="W347">
        <v>1</v>
      </c>
      <c r="X347">
        <v>2</v>
      </c>
      <c r="Z347">
        <v>0</v>
      </c>
      <c r="AA347">
        <v>0</v>
      </c>
    </row>
    <row r="348" spans="1:27" x14ac:dyDescent="0.4">
      <c r="A348">
        <v>350</v>
      </c>
      <c r="B348">
        <v>350</v>
      </c>
      <c r="C348" t="s">
        <v>430</v>
      </c>
      <c r="D348">
        <v>22</v>
      </c>
      <c r="E348">
        <v>39</v>
      </c>
      <c r="F348">
        <v>48</v>
      </c>
      <c r="G348">
        <v>38</v>
      </c>
      <c r="H348">
        <v>36</v>
      </c>
      <c r="I348">
        <v>0</v>
      </c>
      <c r="J348">
        <v>0</v>
      </c>
      <c r="K348">
        <v>2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9</v>
      </c>
      <c r="R348">
        <v>0</v>
      </c>
      <c r="S348">
        <v>0</v>
      </c>
      <c r="T348">
        <v>4</v>
      </c>
      <c r="U348">
        <v>4</v>
      </c>
      <c r="V348">
        <v>3</v>
      </c>
      <c r="W348">
        <v>1</v>
      </c>
      <c r="X348">
        <v>6</v>
      </c>
      <c r="Z348">
        <v>1</v>
      </c>
      <c r="AA348">
        <v>4</v>
      </c>
    </row>
    <row r="349" spans="1:27" x14ac:dyDescent="0.4">
      <c r="A349">
        <v>351</v>
      </c>
      <c r="B349">
        <v>351</v>
      </c>
      <c r="C349" t="s">
        <v>431</v>
      </c>
      <c r="D349">
        <v>22</v>
      </c>
      <c r="E349">
        <v>39</v>
      </c>
      <c r="F349">
        <v>48</v>
      </c>
      <c r="G349">
        <v>38</v>
      </c>
      <c r="H349">
        <v>35</v>
      </c>
      <c r="I349">
        <v>0</v>
      </c>
      <c r="J349">
        <v>0</v>
      </c>
      <c r="K349">
        <v>2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8</v>
      </c>
      <c r="R349">
        <v>0</v>
      </c>
      <c r="S349">
        <v>0</v>
      </c>
      <c r="T349">
        <v>4</v>
      </c>
      <c r="U349">
        <v>4</v>
      </c>
      <c r="V349">
        <v>3</v>
      </c>
      <c r="W349">
        <v>1</v>
      </c>
      <c r="X349">
        <v>6</v>
      </c>
      <c r="Z349">
        <v>1</v>
      </c>
      <c r="AA349">
        <v>4</v>
      </c>
    </row>
    <row r="350" spans="1:27" x14ac:dyDescent="0.4">
      <c r="A350">
        <v>352</v>
      </c>
      <c r="B350">
        <v>352</v>
      </c>
      <c r="C350" t="s">
        <v>432</v>
      </c>
      <c r="D350">
        <v>22</v>
      </c>
      <c r="E350">
        <v>39</v>
      </c>
      <c r="F350">
        <v>48</v>
      </c>
      <c r="G350">
        <v>38</v>
      </c>
      <c r="H350">
        <v>36</v>
      </c>
      <c r="I350">
        <v>0</v>
      </c>
      <c r="J350">
        <v>0</v>
      </c>
      <c r="K350">
        <v>3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9</v>
      </c>
      <c r="R350">
        <v>0</v>
      </c>
      <c r="S350">
        <v>0</v>
      </c>
      <c r="T350">
        <v>5</v>
      </c>
      <c r="U350">
        <v>4</v>
      </c>
      <c r="V350">
        <v>3</v>
      </c>
      <c r="W350">
        <v>1</v>
      </c>
      <c r="X350">
        <v>7</v>
      </c>
      <c r="Z350">
        <v>1</v>
      </c>
      <c r="AA350">
        <v>4</v>
      </c>
    </row>
    <row r="351" spans="1:27" x14ac:dyDescent="0.4">
      <c r="A351">
        <v>353</v>
      </c>
      <c r="B351">
        <v>353</v>
      </c>
      <c r="C351" t="s">
        <v>433</v>
      </c>
      <c r="D351">
        <v>3</v>
      </c>
      <c r="E351">
        <v>5</v>
      </c>
      <c r="F351">
        <v>6</v>
      </c>
      <c r="G351">
        <v>6</v>
      </c>
      <c r="H351">
        <v>37</v>
      </c>
      <c r="I351">
        <v>2</v>
      </c>
      <c r="J351">
        <v>0</v>
      </c>
      <c r="K351">
        <v>11</v>
      </c>
      <c r="L351">
        <v>0</v>
      </c>
      <c r="M351">
        <v>0</v>
      </c>
      <c r="N351">
        <v>3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5</v>
      </c>
      <c r="U351">
        <v>3</v>
      </c>
      <c r="V351">
        <v>3</v>
      </c>
      <c r="W351">
        <v>0</v>
      </c>
      <c r="X351">
        <v>9</v>
      </c>
      <c r="Z351">
        <v>4</v>
      </c>
      <c r="AA351">
        <v>7</v>
      </c>
    </row>
    <row r="352" spans="1:27" x14ac:dyDescent="0.4">
      <c r="A352">
        <v>354</v>
      </c>
      <c r="B352">
        <v>354</v>
      </c>
      <c r="C352" t="s">
        <v>434</v>
      </c>
      <c r="D352">
        <v>22</v>
      </c>
      <c r="E352">
        <v>39</v>
      </c>
      <c r="F352">
        <v>48</v>
      </c>
      <c r="G352">
        <v>38</v>
      </c>
      <c r="H352">
        <v>37</v>
      </c>
      <c r="I352">
        <v>2</v>
      </c>
      <c r="J352">
        <v>0</v>
      </c>
      <c r="K352">
        <v>12</v>
      </c>
      <c r="L352">
        <v>0</v>
      </c>
      <c r="M352">
        <v>0</v>
      </c>
      <c r="N352">
        <v>3</v>
      </c>
      <c r="O352">
        <v>0</v>
      </c>
      <c r="P352">
        <v>0</v>
      </c>
      <c r="Q352">
        <v>3</v>
      </c>
      <c r="R352">
        <v>0</v>
      </c>
      <c r="S352">
        <v>0</v>
      </c>
      <c r="T352">
        <v>5</v>
      </c>
      <c r="U352">
        <v>3</v>
      </c>
      <c r="V352">
        <v>4</v>
      </c>
      <c r="W352">
        <v>0</v>
      </c>
      <c r="X352">
        <v>9</v>
      </c>
      <c r="Z352">
        <v>3</v>
      </c>
      <c r="AA352">
        <v>8</v>
      </c>
    </row>
    <row r="353" spans="1:27" x14ac:dyDescent="0.4">
      <c r="A353">
        <v>355</v>
      </c>
      <c r="B353">
        <v>355</v>
      </c>
      <c r="C353" t="s">
        <v>435</v>
      </c>
      <c r="D353">
        <v>8</v>
      </c>
      <c r="E353">
        <v>45</v>
      </c>
      <c r="F353">
        <v>24</v>
      </c>
      <c r="G353">
        <v>20</v>
      </c>
      <c r="H353">
        <v>0</v>
      </c>
      <c r="I353">
        <v>2</v>
      </c>
      <c r="J353">
        <v>0</v>
      </c>
      <c r="K353">
        <v>0</v>
      </c>
      <c r="L353">
        <v>0</v>
      </c>
      <c r="M353">
        <v>0</v>
      </c>
      <c r="N353">
        <v>-1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4</v>
      </c>
      <c r="U353">
        <v>2</v>
      </c>
      <c r="V353">
        <v>6</v>
      </c>
      <c r="W353">
        <v>8</v>
      </c>
      <c r="X353">
        <v>2</v>
      </c>
      <c r="Z353">
        <v>0</v>
      </c>
      <c r="AA353">
        <v>0</v>
      </c>
    </row>
    <row r="354" spans="1:27" x14ac:dyDescent="0.4">
      <c r="A354">
        <v>356</v>
      </c>
      <c r="B354">
        <v>356</v>
      </c>
      <c r="C354" t="s">
        <v>436</v>
      </c>
      <c r="D354">
        <v>1</v>
      </c>
      <c r="E354">
        <v>1</v>
      </c>
      <c r="F354">
        <v>2</v>
      </c>
      <c r="G354">
        <v>2</v>
      </c>
      <c r="H354">
        <v>0</v>
      </c>
      <c r="I354">
        <v>11</v>
      </c>
      <c r="J354">
        <v>0</v>
      </c>
      <c r="K354">
        <v>1</v>
      </c>
      <c r="L354">
        <v>0</v>
      </c>
      <c r="M354">
        <v>0</v>
      </c>
      <c r="N354">
        <v>-1</v>
      </c>
      <c r="O354">
        <v>0</v>
      </c>
      <c r="P354">
        <v>0</v>
      </c>
      <c r="Q354">
        <v>0</v>
      </c>
      <c r="R354">
        <v>0</v>
      </c>
      <c r="S354">
        <v>2</v>
      </c>
      <c r="T354">
        <v>2</v>
      </c>
      <c r="U354">
        <v>0</v>
      </c>
      <c r="V354">
        <v>6</v>
      </c>
      <c r="W354">
        <v>9</v>
      </c>
      <c r="X354">
        <v>0</v>
      </c>
      <c r="Z354">
        <v>0</v>
      </c>
      <c r="AA354">
        <v>0</v>
      </c>
    </row>
    <row r="355" spans="1:27" x14ac:dyDescent="0.4">
      <c r="A355">
        <v>357</v>
      </c>
      <c r="B355">
        <v>357</v>
      </c>
      <c r="C355" t="s">
        <v>437</v>
      </c>
      <c r="D355">
        <v>1</v>
      </c>
      <c r="E355">
        <v>1</v>
      </c>
      <c r="F355">
        <v>2</v>
      </c>
      <c r="G355">
        <v>2</v>
      </c>
      <c r="H355">
        <v>0</v>
      </c>
      <c r="I355">
        <v>12</v>
      </c>
      <c r="J355">
        <v>0</v>
      </c>
      <c r="K355">
        <v>2</v>
      </c>
      <c r="L355">
        <v>0</v>
      </c>
      <c r="M355">
        <v>0</v>
      </c>
      <c r="N355">
        <v>-1</v>
      </c>
      <c r="O355">
        <v>0</v>
      </c>
      <c r="P355">
        <v>0</v>
      </c>
      <c r="Q355">
        <v>1</v>
      </c>
      <c r="R355">
        <v>0</v>
      </c>
      <c r="S355">
        <v>2</v>
      </c>
      <c r="T355">
        <v>3</v>
      </c>
      <c r="U355">
        <v>1</v>
      </c>
      <c r="V355">
        <v>6</v>
      </c>
      <c r="W355">
        <v>1</v>
      </c>
      <c r="X355">
        <v>2</v>
      </c>
      <c r="Z355">
        <v>0</v>
      </c>
      <c r="AA355">
        <v>0</v>
      </c>
    </row>
    <row r="356" spans="1:27" x14ac:dyDescent="0.4">
      <c r="A356">
        <v>358</v>
      </c>
      <c r="B356">
        <v>358</v>
      </c>
      <c r="C356" t="s">
        <v>438</v>
      </c>
      <c r="D356">
        <v>1</v>
      </c>
      <c r="E356">
        <v>2</v>
      </c>
      <c r="F356">
        <v>4</v>
      </c>
      <c r="G356">
        <v>16</v>
      </c>
      <c r="H356">
        <v>0</v>
      </c>
      <c r="I356">
        <v>2</v>
      </c>
      <c r="J356">
        <v>0</v>
      </c>
      <c r="K356">
        <v>6</v>
      </c>
      <c r="L356">
        <v>1</v>
      </c>
      <c r="M356">
        <v>0</v>
      </c>
      <c r="N356">
        <v>1</v>
      </c>
      <c r="O356">
        <v>0</v>
      </c>
      <c r="P356">
        <v>0</v>
      </c>
      <c r="Q356">
        <v>1</v>
      </c>
      <c r="R356">
        <v>0</v>
      </c>
      <c r="S356">
        <v>1</v>
      </c>
      <c r="T356">
        <v>2</v>
      </c>
      <c r="U356">
        <v>0</v>
      </c>
      <c r="V356">
        <v>2</v>
      </c>
      <c r="W356">
        <v>3</v>
      </c>
      <c r="X356">
        <v>1</v>
      </c>
      <c r="Z356">
        <v>0</v>
      </c>
      <c r="AA356">
        <v>0</v>
      </c>
    </row>
    <row r="357" spans="1:27" x14ac:dyDescent="0.4">
      <c r="A357">
        <v>359</v>
      </c>
      <c r="B357">
        <v>359</v>
      </c>
      <c r="C357" t="s">
        <v>439</v>
      </c>
      <c r="D357">
        <v>1</v>
      </c>
      <c r="E357">
        <v>1</v>
      </c>
      <c r="F357">
        <v>2</v>
      </c>
      <c r="G357">
        <v>2</v>
      </c>
      <c r="H357">
        <v>0</v>
      </c>
      <c r="I357">
        <v>5</v>
      </c>
      <c r="J357">
        <v>0</v>
      </c>
      <c r="K357">
        <v>3</v>
      </c>
      <c r="L357">
        <v>1</v>
      </c>
      <c r="M357">
        <v>0</v>
      </c>
      <c r="N357">
        <v>1</v>
      </c>
      <c r="O357">
        <v>0</v>
      </c>
      <c r="P357">
        <v>0</v>
      </c>
      <c r="Q357">
        <v>2</v>
      </c>
      <c r="R357">
        <v>0</v>
      </c>
      <c r="S357">
        <v>2</v>
      </c>
      <c r="T357">
        <v>2</v>
      </c>
      <c r="U357">
        <v>0</v>
      </c>
      <c r="V357">
        <v>2</v>
      </c>
      <c r="W357">
        <v>3</v>
      </c>
      <c r="X357">
        <v>1</v>
      </c>
      <c r="Z357">
        <v>0</v>
      </c>
      <c r="AA357">
        <v>0</v>
      </c>
    </row>
    <row r="358" spans="1:27" x14ac:dyDescent="0.4">
      <c r="A358">
        <v>360</v>
      </c>
      <c r="B358">
        <v>360</v>
      </c>
      <c r="C358" t="s">
        <v>440</v>
      </c>
      <c r="D358">
        <v>1</v>
      </c>
      <c r="E358">
        <v>1</v>
      </c>
      <c r="F358">
        <v>2</v>
      </c>
      <c r="G358">
        <v>2</v>
      </c>
      <c r="H358">
        <v>0</v>
      </c>
      <c r="I358">
        <v>6</v>
      </c>
      <c r="J358">
        <v>0</v>
      </c>
      <c r="K358">
        <v>5</v>
      </c>
      <c r="L358">
        <v>0</v>
      </c>
      <c r="M358">
        <v>0</v>
      </c>
      <c r="N358">
        <v>2</v>
      </c>
      <c r="O358">
        <v>0</v>
      </c>
      <c r="P358">
        <v>0</v>
      </c>
      <c r="Q358">
        <v>3</v>
      </c>
      <c r="R358">
        <v>0</v>
      </c>
      <c r="S358">
        <v>2</v>
      </c>
      <c r="T358">
        <v>3</v>
      </c>
      <c r="U358">
        <v>0</v>
      </c>
      <c r="V358">
        <v>2</v>
      </c>
      <c r="W358">
        <v>3</v>
      </c>
      <c r="X358">
        <v>1</v>
      </c>
      <c r="Z358">
        <v>0</v>
      </c>
      <c r="AA358">
        <v>0</v>
      </c>
    </row>
    <row r="359" spans="1:27" x14ac:dyDescent="0.4">
      <c r="A359">
        <v>361</v>
      </c>
      <c r="B359">
        <v>361</v>
      </c>
      <c r="C359" t="s">
        <v>441</v>
      </c>
      <c r="D359">
        <v>1</v>
      </c>
      <c r="E359">
        <v>1</v>
      </c>
      <c r="F359">
        <v>2</v>
      </c>
      <c r="G359">
        <v>2</v>
      </c>
      <c r="H359">
        <v>0</v>
      </c>
      <c r="I359">
        <v>7</v>
      </c>
      <c r="J359">
        <v>0</v>
      </c>
      <c r="K359">
        <v>6</v>
      </c>
      <c r="L359">
        <v>-1</v>
      </c>
      <c r="M359">
        <v>0</v>
      </c>
      <c r="N359">
        <v>3</v>
      </c>
      <c r="O359">
        <v>0</v>
      </c>
      <c r="P359">
        <v>0</v>
      </c>
      <c r="Q359">
        <v>3</v>
      </c>
      <c r="R359">
        <v>0</v>
      </c>
      <c r="S359">
        <v>2</v>
      </c>
      <c r="T359">
        <v>4</v>
      </c>
      <c r="U359">
        <v>0</v>
      </c>
      <c r="V359">
        <v>3</v>
      </c>
      <c r="W359">
        <v>4</v>
      </c>
      <c r="X359">
        <v>2</v>
      </c>
      <c r="Z359">
        <v>0</v>
      </c>
      <c r="AA359">
        <v>0</v>
      </c>
    </row>
    <row r="360" spans="1:27" x14ac:dyDescent="0.4">
      <c r="A360">
        <v>362</v>
      </c>
      <c r="B360">
        <v>362</v>
      </c>
      <c r="C360" t="s">
        <v>442</v>
      </c>
      <c r="D360">
        <v>1</v>
      </c>
      <c r="E360">
        <v>1</v>
      </c>
      <c r="F360">
        <v>2</v>
      </c>
      <c r="G360">
        <v>16</v>
      </c>
      <c r="H360">
        <v>0</v>
      </c>
      <c r="I360">
        <v>5</v>
      </c>
      <c r="J360">
        <v>0</v>
      </c>
      <c r="K360">
        <v>11</v>
      </c>
      <c r="L360">
        <v>0</v>
      </c>
      <c r="M360">
        <v>0</v>
      </c>
      <c r="N360">
        <v>2</v>
      </c>
      <c r="O360">
        <v>0</v>
      </c>
      <c r="P360">
        <v>0</v>
      </c>
      <c r="Q360">
        <v>2</v>
      </c>
      <c r="R360">
        <v>0</v>
      </c>
      <c r="S360">
        <v>2</v>
      </c>
      <c r="T360">
        <v>4</v>
      </c>
      <c r="U360">
        <v>0</v>
      </c>
      <c r="V360">
        <v>4</v>
      </c>
      <c r="W360">
        <v>6</v>
      </c>
      <c r="X360">
        <v>4</v>
      </c>
      <c r="Z360">
        <v>0</v>
      </c>
      <c r="AA360">
        <v>0</v>
      </c>
    </row>
    <row r="361" spans="1:27" x14ac:dyDescent="0.4">
      <c r="A361">
        <v>363</v>
      </c>
      <c r="B361">
        <v>363</v>
      </c>
      <c r="C361" t="s">
        <v>443</v>
      </c>
      <c r="D361">
        <v>1</v>
      </c>
      <c r="E361">
        <v>1</v>
      </c>
      <c r="F361">
        <v>2</v>
      </c>
      <c r="G361">
        <v>16</v>
      </c>
      <c r="H361">
        <v>0</v>
      </c>
      <c r="I361">
        <v>6</v>
      </c>
      <c r="J361">
        <v>0</v>
      </c>
      <c r="K361">
        <v>14</v>
      </c>
      <c r="L361">
        <v>0</v>
      </c>
      <c r="M361">
        <v>0</v>
      </c>
      <c r="N361">
        <v>3</v>
      </c>
      <c r="O361">
        <v>3</v>
      </c>
      <c r="P361">
        <v>0</v>
      </c>
      <c r="Q361">
        <v>6</v>
      </c>
      <c r="R361">
        <v>0</v>
      </c>
      <c r="S361">
        <v>2</v>
      </c>
      <c r="T361">
        <v>5</v>
      </c>
      <c r="U361">
        <v>0</v>
      </c>
      <c r="V361">
        <v>4</v>
      </c>
      <c r="W361">
        <v>26</v>
      </c>
      <c r="X361">
        <v>28</v>
      </c>
      <c r="Z361">
        <v>0</v>
      </c>
      <c r="AA361">
        <v>0</v>
      </c>
    </row>
    <row r="362" spans="1:27" x14ac:dyDescent="0.4">
      <c r="A362">
        <v>364</v>
      </c>
      <c r="B362">
        <v>364</v>
      </c>
      <c r="C362" t="s">
        <v>444</v>
      </c>
      <c r="D362">
        <v>2</v>
      </c>
      <c r="E362">
        <v>4</v>
      </c>
      <c r="F362">
        <v>22</v>
      </c>
      <c r="G362">
        <v>5</v>
      </c>
      <c r="H362">
        <v>0</v>
      </c>
      <c r="I362">
        <v>0</v>
      </c>
      <c r="J362">
        <v>17</v>
      </c>
      <c r="K362">
        <v>0</v>
      </c>
      <c r="L362">
        <v>0</v>
      </c>
      <c r="M362">
        <v>0</v>
      </c>
      <c r="N362">
        <v>0</v>
      </c>
      <c r="O362">
        <v>2</v>
      </c>
      <c r="P362">
        <v>0</v>
      </c>
      <c r="Q362">
        <v>2</v>
      </c>
      <c r="R362">
        <v>0</v>
      </c>
      <c r="S362">
        <v>0</v>
      </c>
      <c r="T362">
        <v>4</v>
      </c>
      <c r="U362">
        <v>4</v>
      </c>
      <c r="V362">
        <v>9</v>
      </c>
      <c r="W362">
        <v>12</v>
      </c>
      <c r="X362">
        <v>4</v>
      </c>
      <c r="Z362">
        <v>0</v>
      </c>
      <c r="AA362">
        <v>0</v>
      </c>
    </row>
    <row r="363" spans="1:27" x14ac:dyDescent="0.4">
      <c r="A363">
        <v>365</v>
      </c>
      <c r="B363">
        <v>365</v>
      </c>
      <c r="C363" t="s">
        <v>445</v>
      </c>
      <c r="D363">
        <v>4</v>
      </c>
      <c r="E363">
        <v>25</v>
      </c>
      <c r="F363">
        <v>19</v>
      </c>
      <c r="G363">
        <v>13</v>
      </c>
      <c r="H363">
        <v>0</v>
      </c>
      <c r="I363">
        <v>11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2</v>
      </c>
      <c r="R363">
        <v>0</v>
      </c>
      <c r="S363">
        <v>0</v>
      </c>
      <c r="T363">
        <v>4</v>
      </c>
      <c r="U363">
        <v>0</v>
      </c>
      <c r="V363">
        <v>6</v>
      </c>
      <c r="W363">
        <v>10</v>
      </c>
      <c r="X363">
        <v>1</v>
      </c>
      <c r="Z363">
        <v>0</v>
      </c>
      <c r="AA363">
        <v>0</v>
      </c>
    </row>
    <row r="364" spans="1:27" x14ac:dyDescent="0.4">
      <c r="A364">
        <v>366</v>
      </c>
      <c r="B364">
        <v>366</v>
      </c>
      <c r="C364" t="s">
        <v>446</v>
      </c>
      <c r="D364">
        <v>1</v>
      </c>
      <c r="E364">
        <v>1</v>
      </c>
      <c r="F364">
        <v>1</v>
      </c>
      <c r="G364">
        <v>1</v>
      </c>
      <c r="H364">
        <v>0</v>
      </c>
      <c r="I364">
        <v>3</v>
      </c>
      <c r="J364">
        <v>0</v>
      </c>
      <c r="K364">
        <v>4</v>
      </c>
      <c r="L364">
        <v>1</v>
      </c>
      <c r="M364">
        <v>2</v>
      </c>
      <c r="N364">
        <v>2</v>
      </c>
      <c r="O364">
        <v>0</v>
      </c>
      <c r="P364">
        <v>0</v>
      </c>
      <c r="Q364">
        <v>2</v>
      </c>
      <c r="R364">
        <v>0</v>
      </c>
      <c r="S364">
        <v>1</v>
      </c>
      <c r="T364">
        <v>4</v>
      </c>
      <c r="U364">
        <v>0</v>
      </c>
      <c r="V364">
        <v>2</v>
      </c>
      <c r="W364">
        <v>3</v>
      </c>
      <c r="X364">
        <v>1</v>
      </c>
      <c r="Z364">
        <v>0</v>
      </c>
      <c r="AA364">
        <v>0</v>
      </c>
    </row>
    <row r="365" spans="1:27" x14ac:dyDescent="0.4">
      <c r="A365">
        <v>367</v>
      </c>
      <c r="B365">
        <v>367</v>
      </c>
      <c r="C365" t="s">
        <v>447</v>
      </c>
      <c r="D365">
        <v>5</v>
      </c>
      <c r="E365">
        <v>43</v>
      </c>
      <c r="F365">
        <v>11</v>
      </c>
      <c r="G365">
        <v>10</v>
      </c>
      <c r="H365">
        <v>28</v>
      </c>
      <c r="I365">
        <v>2</v>
      </c>
      <c r="J365">
        <v>5</v>
      </c>
      <c r="K365">
        <v>0</v>
      </c>
      <c r="L365">
        <v>0</v>
      </c>
      <c r="M365">
        <v>4</v>
      </c>
      <c r="N365">
        <v>0</v>
      </c>
      <c r="O365">
        <v>2</v>
      </c>
      <c r="P365">
        <v>0</v>
      </c>
      <c r="Q365">
        <v>1</v>
      </c>
      <c r="R365">
        <v>5</v>
      </c>
      <c r="S365">
        <v>0</v>
      </c>
      <c r="T365">
        <v>3</v>
      </c>
      <c r="U365">
        <v>1</v>
      </c>
      <c r="V365">
        <v>2</v>
      </c>
      <c r="W365">
        <v>0</v>
      </c>
      <c r="X365">
        <v>3</v>
      </c>
      <c r="Z365">
        <v>3</v>
      </c>
      <c r="AA365">
        <v>5</v>
      </c>
    </row>
    <row r="366" spans="1:27" x14ac:dyDescent="0.4">
      <c r="A366">
        <v>368</v>
      </c>
      <c r="B366">
        <v>368</v>
      </c>
      <c r="C366" t="s">
        <v>448</v>
      </c>
      <c r="D366">
        <v>5</v>
      </c>
      <c r="E366">
        <v>43</v>
      </c>
      <c r="F366">
        <v>11</v>
      </c>
      <c r="G366">
        <v>10</v>
      </c>
      <c r="H366">
        <v>28</v>
      </c>
      <c r="I366">
        <v>4</v>
      </c>
      <c r="J366">
        <v>6</v>
      </c>
      <c r="K366">
        <v>0</v>
      </c>
      <c r="L366">
        <v>0</v>
      </c>
      <c r="M366">
        <v>7</v>
      </c>
      <c r="N366">
        <v>0</v>
      </c>
      <c r="O366">
        <v>3</v>
      </c>
      <c r="P366">
        <v>0</v>
      </c>
      <c r="Q366">
        <v>2</v>
      </c>
      <c r="R366">
        <v>7</v>
      </c>
      <c r="S366">
        <v>0</v>
      </c>
      <c r="T366">
        <v>4</v>
      </c>
      <c r="U366">
        <v>1</v>
      </c>
      <c r="V366">
        <v>3</v>
      </c>
      <c r="W366">
        <v>0</v>
      </c>
      <c r="X366">
        <v>3</v>
      </c>
      <c r="Z366">
        <v>3</v>
      </c>
      <c r="AA366">
        <v>6</v>
      </c>
    </row>
    <row r="367" spans="1:27" x14ac:dyDescent="0.4">
      <c r="A367">
        <v>369</v>
      </c>
      <c r="B367">
        <v>369</v>
      </c>
      <c r="C367" t="s">
        <v>449</v>
      </c>
      <c r="D367">
        <v>5</v>
      </c>
      <c r="E367">
        <v>43</v>
      </c>
      <c r="F367">
        <v>11</v>
      </c>
      <c r="G367">
        <v>10</v>
      </c>
      <c r="H367">
        <v>28</v>
      </c>
      <c r="I367">
        <v>4</v>
      </c>
      <c r="J367">
        <v>7</v>
      </c>
      <c r="K367">
        <v>0</v>
      </c>
      <c r="L367">
        <v>0</v>
      </c>
      <c r="M367">
        <v>8</v>
      </c>
      <c r="N367">
        <v>0</v>
      </c>
      <c r="O367">
        <v>4</v>
      </c>
      <c r="P367">
        <v>0</v>
      </c>
      <c r="Q367">
        <v>3</v>
      </c>
      <c r="R367">
        <v>8</v>
      </c>
      <c r="S367">
        <v>0</v>
      </c>
      <c r="T367">
        <v>5</v>
      </c>
      <c r="U367">
        <v>1</v>
      </c>
      <c r="V367">
        <v>3</v>
      </c>
      <c r="W367">
        <v>0</v>
      </c>
      <c r="X367">
        <v>3</v>
      </c>
      <c r="Z367">
        <v>3</v>
      </c>
      <c r="AA367">
        <v>5</v>
      </c>
    </row>
    <row r="368" spans="1:27" x14ac:dyDescent="0.4">
      <c r="A368">
        <v>370</v>
      </c>
      <c r="B368">
        <v>370</v>
      </c>
      <c r="C368" t="s">
        <v>450</v>
      </c>
      <c r="D368">
        <v>5</v>
      </c>
      <c r="E368">
        <v>7</v>
      </c>
      <c r="F368">
        <v>10</v>
      </c>
      <c r="G368">
        <v>10</v>
      </c>
      <c r="H368">
        <v>28</v>
      </c>
      <c r="I368">
        <v>1</v>
      </c>
      <c r="J368">
        <v>0</v>
      </c>
      <c r="K368">
        <v>0</v>
      </c>
      <c r="L368">
        <v>0</v>
      </c>
      <c r="M368">
        <v>6</v>
      </c>
      <c r="N368">
        <v>0</v>
      </c>
      <c r="O368">
        <v>5</v>
      </c>
      <c r="P368">
        <v>0</v>
      </c>
      <c r="Q368">
        <v>2</v>
      </c>
      <c r="R368">
        <v>0</v>
      </c>
      <c r="S368">
        <v>0</v>
      </c>
      <c r="T368">
        <v>4</v>
      </c>
      <c r="U368">
        <v>1</v>
      </c>
      <c r="V368">
        <v>2</v>
      </c>
      <c r="W368">
        <v>0</v>
      </c>
      <c r="X368">
        <v>4</v>
      </c>
      <c r="Z368">
        <v>3</v>
      </c>
      <c r="AA368">
        <v>5</v>
      </c>
    </row>
    <row r="369" spans="1:27" x14ac:dyDescent="0.4">
      <c r="A369">
        <v>371</v>
      </c>
      <c r="B369">
        <v>371</v>
      </c>
      <c r="C369" t="s">
        <v>451</v>
      </c>
      <c r="D369">
        <v>5</v>
      </c>
      <c r="E369">
        <v>7</v>
      </c>
      <c r="F369">
        <v>10</v>
      </c>
      <c r="G369">
        <v>10</v>
      </c>
      <c r="H369">
        <v>28</v>
      </c>
      <c r="I369">
        <v>2</v>
      </c>
      <c r="J369">
        <v>0</v>
      </c>
      <c r="K369">
        <v>1</v>
      </c>
      <c r="L369">
        <v>0</v>
      </c>
      <c r="M369">
        <v>3</v>
      </c>
      <c r="N369">
        <v>1</v>
      </c>
      <c r="O369">
        <v>6</v>
      </c>
      <c r="P369">
        <v>0</v>
      </c>
      <c r="Q369">
        <v>2</v>
      </c>
      <c r="R369">
        <v>0</v>
      </c>
      <c r="S369">
        <v>0</v>
      </c>
      <c r="T369">
        <v>4</v>
      </c>
      <c r="U369">
        <v>1</v>
      </c>
      <c r="V369">
        <v>2</v>
      </c>
      <c r="W369">
        <v>0</v>
      </c>
      <c r="X369">
        <v>4</v>
      </c>
      <c r="Z369">
        <v>3</v>
      </c>
      <c r="AA369">
        <v>6</v>
      </c>
    </row>
    <row r="370" spans="1:27" x14ac:dyDescent="0.4">
      <c r="A370">
        <v>372</v>
      </c>
      <c r="B370">
        <v>372</v>
      </c>
      <c r="C370" t="s">
        <v>452</v>
      </c>
      <c r="D370">
        <v>3</v>
      </c>
      <c r="E370">
        <v>5</v>
      </c>
      <c r="F370">
        <v>8</v>
      </c>
      <c r="G370">
        <v>8</v>
      </c>
      <c r="H370">
        <v>1</v>
      </c>
      <c r="I370">
        <v>0</v>
      </c>
      <c r="J370">
        <v>9</v>
      </c>
      <c r="K370">
        <v>1</v>
      </c>
      <c r="L370">
        <v>0</v>
      </c>
      <c r="M370">
        <v>4</v>
      </c>
      <c r="N370">
        <v>0</v>
      </c>
      <c r="O370">
        <v>2</v>
      </c>
      <c r="P370">
        <v>0</v>
      </c>
      <c r="Q370">
        <v>0</v>
      </c>
      <c r="R370">
        <v>0</v>
      </c>
      <c r="S370">
        <v>0</v>
      </c>
      <c r="T370">
        <v>3</v>
      </c>
      <c r="U370">
        <v>2</v>
      </c>
      <c r="V370">
        <v>5</v>
      </c>
      <c r="W370">
        <v>0</v>
      </c>
      <c r="X370">
        <v>5</v>
      </c>
      <c r="Z370">
        <v>5</v>
      </c>
      <c r="AA370">
        <v>7</v>
      </c>
    </row>
    <row r="371" spans="1:27" x14ac:dyDescent="0.4">
      <c r="A371">
        <v>373</v>
      </c>
      <c r="B371">
        <v>373</v>
      </c>
      <c r="C371" t="s">
        <v>453</v>
      </c>
      <c r="D371">
        <v>3</v>
      </c>
      <c r="E371">
        <v>5</v>
      </c>
      <c r="F371">
        <v>8</v>
      </c>
      <c r="G371">
        <v>46</v>
      </c>
      <c r="H371">
        <v>1</v>
      </c>
      <c r="I371">
        <v>0</v>
      </c>
      <c r="J371">
        <v>11</v>
      </c>
      <c r="K371">
        <v>1</v>
      </c>
      <c r="L371">
        <v>0</v>
      </c>
      <c r="M371">
        <v>6</v>
      </c>
      <c r="N371">
        <v>0</v>
      </c>
      <c r="O371">
        <v>5</v>
      </c>
      <c r="P371">
        <v>0</v>
      </c>
      <c r="Q371">
        <v>1</v>
      </c>
      <c r="R371">
        <v>0</v>
      </c>
      <c r="S371">
        <v>0</v>
      </c>
      <c r="T371">
        <v>4</v>
      </c>
      <c r="U371">
        <v>2</v>
      </c>
      <c r="V371">
        <v>5</v>
      </c>
      <c r="W371">
        <v>0</v>
      </c>
      <c r="X371">
        <v>6</v>
      </c>
      <c r="Z371">
        <v>5</v>
      </c>
      <c r="AA371">
        <v>8</v>
      </c>
    </row>
    <row r="372" spans="1:27" x14ac:dyDescent="0.4">
      <c r="A372">
        <v>374</v>
      </c>
      <c r="B372">
        <v>374</v>
      </c>
      <c r="C372" t="s">
        <v>454</v>
      </c>
      <c r="D372">
        <v>3</v>
      </c>
      <c r="E372">
        <v>5</v>
      </c>
      <c r="F372">
        <v>8</v>
      </c>
      <c r="G372">
        <v>46</v>
      </c>
      <c r="H372">
        <v>1</v>
      </c>
      <c r="I372">
        <v>0</v>
      </c>
      <c r="J372">
        <v>13</v>
      </c>
      <c r="K372">
        <v>1</v>
      </c>
      <c r="L372">
        <v>0</v>
      </c>
      <c r="M372">
        <v>7</v>
      </c>
      <c r="N372">
        <v>0</v>
      </c>
      <c r="O372">
        <v>6</v>
      </c>
      <c r="P372">
        <v>0</v>
      </c>
      <c r="Q372">
        <v>2</v>
      </c>
      <c r="R372">
        <v>0</v>
      </c>
      <c r="S372">
        <v>0</v>
      </c>
      <c r="T372">
        <v>5</v>
      </c>
      <c r="U372">
        <v>3</v>
      </c>
      <c r="V372">
        <v>6</v>
      </c>
      <c r="W372">
        <v>0</v>
      </c>
      <c r="X372">
        <v>6</v>
      </c>
      <c r="Z372">
        <v>6</v>
      </c>
      <c r="AA372">
        <v>8</v>
      </c>
    </row>
    <row r="373" spans="1:27" x14ac:dyDescent="0.4">
      <c r="A373">
        <v>375</v>
      </c>
      <c r="B373">
        <v>375</v>
      </c>
      <c r="C373" t="s">
        <v>455</v>
      </c>
      <c r="D373">
        <v>3</v>
      </c>
      <c r="E373">
        <v>5</v>
      </c>
      <c r="F373">
        <v>6</v>
      </c>
      <c r="G373">
        <v>6</v>
      </c>
      <c r="H373">
        <v>38</v>
      </c>
      <c r="I373">
        <v>0</v>
      </c>
      <c r="J373">
        <v>0</v>
      </c>
      <c r="K373">
        <v>12</v>
      </c>
      <c r="L373">
        <v>0</v>
      </c>
      <c r="M373">
        <v>0</v>
      </c>
      <c r="N373">
        <v>2</v>
      </c>
      <c r="O373">
        <v>1</v>
      </c>
      <c r="P373">
        <v>0</v>
      </c>
      <c r="Q373">
        <v>0</v>
      </c>
      <c r="R373">
        <v>0</v>
      </c>
      <c r="S373">
        <v>0</v>
      </c>
      <c r="T373">
        <v>6</v>
      </c>
      <c r="U373">
        <v>3</v>
      </c>
      <c r="V373">
        <v>4</v>
      </c>
      <c r="W373">
        <v>1</v>
      </c>
      <c r="X373">
        <v>14</v>
      </c>
      <c r="Z373">
        <v>4</v>
      </c>
      <c r="AA373">
        <v>12</v>
      </c>
    </row>
    <row r="374" spans="1:27" x14ac:dyDescent="0.4">
      <c r="A374">
        <v>376</v>
      </c>
      <c r="B374">
        <v>376</v>
      </c>
      <c r="C374" t="s">
        <v>456</v>
      </c>
      <c r="D374">
        <v>2</v>
      </c>
      <c r="E374">
        <v>3</v>
      </c>
      <c r="F374">
        <v>5</v>
      </c>
      <c r="G374">
        <v>5</v>
      </c>
      <c r="H374">
        <v>0</v>
      </c>
      <c r="I374">
        <v>1</v>
      </c>
      <c r="J374">
        <v>11</v>
      </c>
      <c r="K374">
        <v>0</v>
      </c>
      <c r="L374">
        <v>1</v>
      </c>
      <c r="M374">
        <v>0</v>
      </c>
      <c r="N374">
        <v>1</v>
      </c>
      <c r="O374">
        <v>0</v>
      </c>
      <c r="P374">
        <v>0</v>
      </c>
      <c r="Q374">
        <v>0</v>
      </c>
      <c r="R374">
        <v>0</v>
      </c>
      <c r="S374">
        <v>1</v>
      </c>
      <c r="T374">
        <v>3</v>
      </c>
      <c r="U374">
        <v>2</v>
      </c>
      <c r="V374">
        <v>4</v>
      </c>
      <c r="W374">
        <v>2</v>
      </c>
      <c r="X374">
        <v>3</v>
      </c>
      <c r="Z374">
        <v>0</v>
      </c>
      <c r="AA374">
        <v>0</v>
      </c>
    </row>
    <row r="375" spans="1:27" x14ac:dyDescent="0.4">
      <c r="A375">
        <v>377</v>
      </c>
      <c r="B375">
        <v>377</v>
      </c>
      <c r="C375" t="s">
        <v>457</v>
      </c>
      <c r="D375">
        <v>7</v>
      </c>
      <c r="E375">
        <v>32</v>
      </c>
      <c r="F375">
        <v>15</v>
      </c>
      <c r="G375">
        <v>17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17</v>
      </c>
      <c r="N375">
        <v>1</v>
      </c>
      <c r="O375">
        <v>0</v>
      </c>
      <c r="P375">
        <v>0</v>
      </c>
      <c r="Q375">
        <v>1</v>
      </c>
      <c r="R375">
        <v>0</v>
      </c>
      <c r="S375">
        <v>0</v>
      </c>
      <c r="T375">
        <v>5</v>
      </c>
      <c r="U375">
        <v>1</v>
      </c>
      <c r="V375">
        <v>10</v>
      </c>
      <c r="W375">
        <v>4</v>
      </c>
      <c r="X375">
        <v>4</v>
      </c>
      <c r="Z375">
        <v>0</v>
      </c>
      <c r="AA375">
        <v>0</v>
      </c>
    </row>
    <row r="376" spans="1:27" x14ac:dyDescent="0.4">
      <c r="A376">
        <v>378</v>
      </c>
      <c r="B376">
        <v>378</v>
      </c>
      <c r="C376" t="s">
        <v>458</v>
      </c>
      <c r="D376">
        <v>7</v>
      </c>
      <c r="E376">
        <v>32</v>
      </c>
      <c r="F376">
        <v>15</v>
      </c>
      <c r="G376">
        <v>17</v>
      </c>
      <c r="H376">
        <v>0</v>
      </c>
      <c r="I376">
        <v>0</v>
      </c>
      <c r="J376">
        <v>2</v>
      </c>
      <c r="K376">
        <v>0</v>
      </c>
      <c r="L376">
        <v>0</v>
      </c>
      <c r="M376">
        <v>20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6</v>
      </c>
      <c r="U376">
        <v>2</v>
      </c>
      <c r="V376">
        <v>11</v>
      </c>
      <c r="W376">
        <v>2</v>
      </c>
      <c r="X376">
        <v>5</v>
      </c>
      <c r="Z376">
        <v>0</v>
      </c>
      <c r="AA376">
        <v>0</v>
      </c>
    </row>
    <row r="377" spans="1:27" x14ac:dyDescent="0.4">
      <c r="A377">
        <v>379</v>
      </c>
      <c r="B377">
        <v>379</v>
      </c>
      <c r="C377" t="s">
        <v>459</v>
      </c>
      <c r="D377">
        <v>1</v>
      </c>
      <c r="E377">
        <v>1</v>
      </c>
      <c r="F377">
        <v>1</v>
      </c>
      <c r="G377">
        <v>16</v>
      </c>
      <c r="H377">
        <v>0</v>
      </c>
      <c r="I377">
        <v>1</v>
      </c>
      <c r="J377">
        <v>0</v>
      </c>
      <c r="K377">
        <v>5</v>
      </c>
      <c r="L377">
        <v>0</v>
      </c>
      <c r="M377">
        <v>2</v>
      </c>
      <c r="N377">
        <v>3</v>
      </c>
      <c r="O377">
        <v>0</v>
      </c>
      <c r="P377">
        <v>0</v>
      </c>
      <c r="Q377">
        <v>1</v>
      </c>
      <c r="R377">
        <v>0</v>
      </c>
      <c r="S377">
        <v>1</v>
      </c>
      <c r="T377">
        <v>3</v>
      </c>
      <c r="U377">
        <v>0</v>
      </c>
      <c r="V377">
        <v>1</v>
      </c>
      <c r="W377">
        <v>2</v>
      </c>
      <c r="X377">
        <v>1</v>
      </c>
      <c r="Z377">
        <v>0</v>
      </c>
      <c r="AA377">
        <v>0</v>
      </c>
    </row>
    <row r="378" spans="1:27" x14ac:dyDescent="0.4">
      <c r="A378">
        <v>380</v>
      </c>
      <c r="B378">
        <v>380</v>
      </c>
      <c r="C378" t="s">
        <v>460</v>
      </c>
      <c r="D378">
        <v>1</v>
      </c>
      <c r="E378">
        <v>1</v>
      </c>
      <c r="F378">
        <v>1</v>
      </c>
      <c r="G378">
        <v>16</v>
      </c>
      <c r="H378">
        <v>0</v>
      </c>
      <c r="I378">
        <v>2</v>
      </c>
      <c r="J378">
        <v>0</v>
      </c>
      <c r="K378">
        <v>6</v>
      </c>
      <c r="L378">
        <v>0</v>
      </c>
      <c r="M378">
        <v>2</v>
      </c>
      <c r="N378">
        <v>2</v>
      </c>
      <c r="O378">
        <v>0</v>
      </c>
      <c r="P378">
        <v>0</v>
      </c>
      <c r="Q378">
        <v>1</v>
      </c>
      <c r="R378">
        <v>0</v>
      </c>
      <c r="S378">
        <v>1</v>
      </c>
      <c r="T378">
        <v>3</v>
      </c>
      <c r="U378">
        <v>0</v>
      </c>
      <c r="V378">
        <v>2</v>
      </c>
      <c r="W378">
        <v>2</v>
      </c>
      <c r="X378">
        <v>1</v>
      </c>
      <c r="Z378">
        <v>0</v>
      </c>
      <c r="AA378">
        <v>0</v>
      </c>
    </row>
    <row r="379" spans="1:27" x14ac:dyDescent="0.4">
      <c r="A379">
        <v>381</v>
      </c>
      <c r="B379">
        <v>381</v>
      </c>
      <c r="C379" t="s">
        <v>461</v>
      </c>
      <c r="D379">
        <v>1</v>
      </c>
      <c r="E379">
        <v>1</v>
      </c>
      <c r="F379">
        <v>3</v>
      </c>
      <c r="G379">
        <v>3</v>
      </c>
      <c r="H379">
        <v>0</v>
      </c>
      <c r="I379">
        <v>22</v>
      </c>
      <c r="J379">
        <v>0</v>
      </c>
      <c r="K379">
        <v>2</v>
      </c>
      <c r="L379">
        <v>1</v>
      </c>
      <c r="M379">
        <v>0</v>
      </c>
      <c r="N379">
        <v>0</v>
      </c>
      <c r="O379">
        <v>0</v>
      </c>
      <c r="P379">
        <v>0</v>
      </c>
      <c r="Q379">
        <v>2</v>
      </c>
      <c r="R379">
        <v>0</v>
      </c>
      <c r="S379">
        <v>3</v>
      </c>
      <c r="T379">
        <v>3</v>
      </c>
      <c r="U379">
        <v>0</v>
      </c>
      <c r="V379">
        <v>13</v>
      </c>
      <c r="W379">
        <v>22</v>
      </c>
      <c r="X379">
        <v>2</v>
      </c>
      <c r="Z379">
        <v>0</v>
      </c>
      <c r="AA379">
        <v>0</v>
      </c>
    </row>
    <row r="380" spans="1:27" x14ac:dyDescent="0.4">
      <c r="A380">
        <v>382</v>
      </c>
      <c r="B380">
        <v>382</v>
      </c>
      <c r="C380" t="s">
        <v>462</v>
      </c>
      <c r="D380">
        <v>1</v>
      </c>
      <c r="E380">
        <v>1</v>
      </c>
      <c r="F380">
        <v>1</v>
      </c>
      <c r="G380">
        <v>16</v>
      </c>
      <c r="H380">
        <v>0</v>
      </c>
      <c r="I380">
        <v>1</v>
      </c>
      <c r="J380">
        <v>0</v>
      </c>
      <c r="K380">
        <v>3</v>
      </c>
      <c r="L380">
        <v>0</v>
      </c>
      <c r="M380">
        <v>1</v>
      </c>
      <c r="N380">
        <v>2</v>
      </c>
      <c r="O380">
        <v>0</v>
      </c>
      <c r="P380">
        <v>0</v>
      </c>
      <c r="Q380">
        <v>0</v>
      </c>
      <c r="R380">
        <v>0</v>
      </c>
      <c r="S380">
        <v>1</v>
      </c>
      <c r="T380">
        <v>2</v>
      </c>
      <c r="U380">
        <v>0</v>
      </c>
      <c r="V380">
        <v>1</v>
      </c>
      <c r="W380">
        <v>1</v>
      </c>
      <c r="X380">
        <v>1</v>
      </c>
      <c r="Z380">
        <v>0</v>
      </c>
      <c r="AA380">
        <v>0</v>
      </c>
    </row>
    <row r="381" spans="1:27" x14ac:dyDescent="0.4">
      <c r="A381">
        <v>383</v>
      </c>
      <c r="B381">
        <v>383</v>
      </c>
      <c r="C381" t="s">
        <v>463</v>
      </c>
      <c r="D381">
        <v>2</v>
      </c>
      <c r="E381">
        <v>3</v>
      </c>
      <c r="F381">
        <v>32</v>
      </c>
      <c r="G381">
        <v>5</v>
      </c>
      <c r="H381">
        <v>0</v>
      </c>
      <c r="I381">
        <v>0</v>
      </c>
      <c r="J381">
        <v>19</v>
      </c>
      <c r="K381">
        <v>0</v>
      </c>
      <c r="L381">
        <v>0</v>
      </c>
      <c r="M381">
        <v>0</v>
      </c>
      <c r="N381">
        <v>1</v>
      </c>
      <c r="O381">
        <v>0</v>
      </c>
      <c r="P381">
        <v>0</v>
      </c>
      <c r="Q381">
        <v>3</v>
      </c>
      <c r="R381">
        <v>0</v>
      </c>
      <c r="S381">
        <v>1</v>
      </c>
      <c r="T381">
        <v>4</v>
      </c>
      <c r="U381">
        <v>3</v>
      </c>
      <c r="V381">
        <v>4</v>
      </c>
      <c r="W381">
        <v>3</v>
      </c>
      <c r="X381">
        <v>1</v>
      </c>
      <c r="Z381">
        <v>0</v>
      </c>
      <c r="AA381">
        <v>0</v>
      </c>
    </row>
    <row r="382" spans="1:27" x14ac:dyDescent="0.4">
      <c r="A382">
        <v>384</v>
      </c>
      <c r="B382">
        <v>384</v>
      </c>
      <c r="C382" t="s">
        <v>464</v>
      </c>
      <c r="D382">
        <v>24</v>
      </c>
      <c r="E382">
        <v>42</v>
      </c>
      <c r="F382">
        <v>51</v>
      </c>
      <c r="G382">
        <v>42</v>
      </c>
      <c r="H382">
        <v>0</v>
      </c>
      <c r="I382">
        <v>2</v>
      </c>
      <c r="J382">
        <v>4</v>
      </c>
      <c r="K382">
        <v>0</v>
      </c>
      <c r="L382">
        <v>1</v>
      </c>
      <c r="M382">
        <v>0</v>
      </c>
      <c r="N382">
        <v>13</v>
      </c>
      <c r="O382">
        <v>7</v>
      </c>
      <c r="P382">
        <v>0</v>
      </c>
      <c r="Q382">
        <v>4</v>
      </c>
      <c r="R382">
        <v>0</v>
      </c>
      <c r="S382">
        <v>0</v>
      </c>
      <c r="T382">
        <v>5</v>
      </c>
      <c r="U382">
        <v>0</v>
      </c>
      <c r="V382">
        <v>0</v>
      </c>
      <c r="W382">
        <v>14</v>
      </c>
      <c r="X382">
        <v>19</v>
      </c>
      <c r="Z382">
        <v>0</v>
      </c>
      <c r="AA382">
        <v>0</v>
      </c>
    </row>
    <row r="383" spans="1:27" x14ac:dyDescent="0.4">
      <c r="A383">
        <v>385</v>
      </c>
      <c r="B383">
        <v>385</v>
      </c>
      <c r="C383" t="s">
        <v>465</v>
      </c>
      <c r="D383">
        <v>1</v>
      </c>
      <c r="E383">
        <v>1</v>
      </c>
      <c r="F383">
        <v>3</v>
      </c>
      <c r="G383">
        <v>3</v>
      </c>
      <c r="H383">
        <v>0</v>
      </c>
      <c r="I383">
        <v>23</v>
      </c>
      <c r="J383">
        <v>0</v>
      </c>
      <c r="K383">
        <v>2</v>
      </c>
      <c r="L383">
        <v>2</v>
      </c>
      <c r="M383">
        <v>0</v>
      </c>
      <c r="N383">
        <v>0</v>
      </c>
      <c r="O383">
        <v>0</v>
      </c>
      <c r="P383">
        <v>0</v>
      </c>
      <c r="Q383">
        <v>3</v>
      </c>
      <c r="R383">
        <v>0</v>
      </c>
      <c r="S383">
        <v>3</v>
      </c>
      <c r="T383">
        <v>4</v>
      </c>
      <c r="U383">
        <v>0</v>
      </c>
      <c r="V383">
        <v>14</v>
      </c>
      <c r="W383">
        <v>22</v>
      </c>
      <c r="X383">
        <v>3</v>
      </c>
      <c r="Z383">
        <v>0</v>
      </c>
      <c r="AA383">
        <v>0</v>
      </c>
    </row>
    <row r="384" spans="1:27" x14ac:dyDescent="0.4">
      <c r="A384">
        <v>386</v>
      </c>
      <c r="B384">
        <v>386</v>
      </c>
      <c r="C384" t="s">
        <v>466</v>
      </c>
      <c r="D384">
        <v>1</v>
      </c>
      <c r="E384">
        <v>1</v>
      </c>
      <c r="F384">
        <v>2</v>
      </c>
      <c r="G384">
        <v>2</v>
      </c>
      <c r="H384">
        <v>0</v>
      </c>
      <c r="I384">
        <v>7</v>
      </c>
      <c r="J384">
        <v>0</v>
      </c>
      <c r="K384">
        <v>2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2</v>
      </c>
      <c r="R384">
        <v>0</v>
      </c>
      <c r="S384">
        <v>2</v>
      </c>
      <c r="T384">
        <v>3</v>
      </c>
      <c r="U384">
        <v>0</v>
      </c>
      <c r="V384">
        <v>2</v>
      </c>
      <c r="W384">
        <v>5</v>
      </c>
      <c r="X384">
        <v>1</v>
      </c>
      <c r="Z384">
        <v>0</v>
      </c>
      <c r="AA384">
        <v>0</v>
      </c>
    </row>
    <row r="385" spans="1:27" x14ac:dyDescent="0.4">
      <c r="A385">
        <v>387</v>
      </c>
      <c r="B385">
        <v>387</v>
      </c>
      <c r="C385" t="s">
        <v>467</v>
      </c>
      <c r="D385">
        <v>1</v>
      </c>
      <c r="E385">
        <v>1</v>
      </c>
      <c r="F385">
        <v>2</v>
      </c>
      <c r="G385">
        <v>2</v>
      </c>
      <c r="H385">
        <v>0</v>
      </c>
      <c r="I385">
        <v>8</v>
      </c>
      <c r="J385">
        <v>0</v>
      </c>
      <c r="K385">
        <v>3</v>
      </c>
      <c r="L385">
        <v>1</v>
      </c>
      <c r="M385">
        <v>0</v>
      </c>
      <c r="N385">
        <v>1</v>
      </c>
      <c r="O385">
        <v>0</v>
      </c>
      <c r="P385">
        <v>0</v>
      </c>
      <c r="Q385">
        <v>4</v>
      </c>
      <c r="R385">
        <v>0</v>
      </c>
      <c r="S385">
        <v>2</v>
      </c>
      <c r="T385">
        <v>4</v>
      </c>
      <c r="U385">
        <v>0</v>
      </c>
      <c r="V385">
        <v>3</v>
      </c>
      <c r="W385">
        <v>6</v>
      </c>
      <c r="X385">
        <v>2</v>
      </c>
      <c r="Z385">
        <v>0</v>
      </c>
      <c r="AA385">
        <v>0</v>
      </c>
    </row>
    <row r="386" spans="1:27" x14ac:dyDescent="0.4">
      <c r="A386">
        <v>388</v>
      </c>
      <c r="B386">
        <v>388</v>
      </c>
      <c r="C386" t="s">
        <v>468</v>
      </c>
      <c r="D386">
        <v>21</v>
      </c>
      <c r="E386">
        <v>38</v>
      </c>
      <c r="F386">
        <v>47</v>
      </c>
      <c r="G386">
        <v>37</v>
      </c>
      <c r="H386">
        <v>4</v>
      </c>
      <c r="I386">
        <v>0</v>
      </c>
      <c r="J386">
        <v>15</v>
      </c>
      <c r="K386">
        <v>3</v>
      </c>
      <c r="L386">
        <v>0</v>
      </c>
      <c r="M386">
        <v>4</v>
      </c>
      <c r="N386">
        <v>0</v>
      </c>
      <c r="O386">
        <v>4</v>
      </c>
      <c r="P386">
        <v>0</v>
      </c>
      <c r="Q386">
        <v>3</v>
      </c>
      <c r="R386">
        <v>15</v>
      </c>
      <c r="S386">
        <v>0</v>
      </c>
      <c r="T386">
        <v>5</v>
      </c>
      <c r="U386">
        <v>9</v>
      </c>
      <c r="V386">
        <v>7</v>
      </c>
      <c r="W386">
        <v>0</v>
      </c>
      <c r="X386">
        <v>17</v>
      </c>
      <c r="Z386">
        <v>7</v>
      </c>
      <c r="AA386">
        <v>13</v>
      </c>
    </row>
    <row r="387" spans="1:27" x14ac:dyDescent="0.4">
      <c r="A387">
        <v>389</v>
      </c>
      <c r="B387">
        <v>389</v>
      </c>
      <c r="C387" t="s">
        <v>469</v>
      </c>
      <c r="D387">
        <v>3</v>
      </c>
      <c r="E387">
        <v>5</v>
      </c>
      <c r="F387">
        <v>8</v>
      </c>
      <c r="G387">
        <v>46</v>
      </c>
      <c r="H387">
        <v>39</v>
      </c>
      <c r="I387">
        <v>3</v>
      </c>
      <c r="J387">
        <v>10</v>
      </c>
      <c r="K387">
        <v>0</v>
      </c>
      <c r="L387">
        <v>0</v>
      </c>
      <c r="M387">
        <v>13</v>
      </c>
      <c r="N387">
        <v>0</v>
      </c>
      <c r="O387">
        <v>10</v>
      </c>
      <c r="P387">
        <v>0</v>
      </c>
      <c r="Q387">
        <v>3</v>
      </c>
      <c r="R387">
        <v>7</v>
      </c>
      <c r="S387">
        <v>0</v>
      </c>
      <c r="T387">
        <v>6</v>
      </c>
      <c r="U387">
        <v>4</v>
      </c>
      <c r="V387">
        <v>6</v>
      </c>
      <c r="W387">
        <v>0</v>
      </c>
      <c r="X387">
        <v>16</v>
      </c>
      <c r="Z387">
        <v>5</v>
      </c>
      <c r="AA387">
        <v>12</v>
      </c>
    </row>
    <row r="388" spans="1:27" x14ac:dyDescent="0.4">
      <c r="A388">
        <v>390</v>
      </c>
      <c r="B388">
        <v>390</v>
      </c>
      <c r="C388" t="s">
        <v>470</v>
      </c>
      <c r="D388">
        <v>1</v>
      </c>
      <c r="E388">
        <v>1</v>
      </c>
      <c r="F388">
        <v>3</v>
      </c>
      <c r="G388">
        <v>3</v>
      </c>
      <c r="H388">
        <v>0</v>
      </c>
      <c r="I388">
        <v>23</v>
      </c>
      <c r="J388">
        <v>0</v>
      </c>
      <c r="K388">
        <v>3</v>
      </c>
      <c r="L388">
        <v>2</v>
      </c>
      <c r="M388">
        <v>0</v>
      </c>
      <c r="N388">
        <v>1</v>
      </c>
      <c r="O388">
        <v>0</v>
      </c>
      <c r="P388">
        <v>0</v>
      </c>
      <c r="Q388">
        <v>6</v>
      </c>
      <c r="R388">
        <v>0</v>
      </c>
      <c r="S388">
        <v>3</v>
      </c>
      <c r="T388">
        <v>5</v>
      </c>
      <c r="U388">
        <v>0</v>
      </c>
      <c r="V388">
        <v>16</v>
      </c>
      <c r="W388">
        <v>22</v>
      </c>
      <c r="X388">
        <v>16</v>
      </c>
      <c r="Z388">
        <v>0</v>
      </c>
      <c r="AA388">
        <v>0</v>
      </c>
    </row>
    <row r="389" spans="1:27" x14ac:dyDescent="0.4">
      <c r="A389">
        <v>391</v>
      </c>
      <c r="B389">
        <v>391</v>
      </c>
      <c r="C389" t="s">
        <v>471</v>
      </c>
      <c r="D389">
        <v>3</v>
      </c>
      <c r="E389">
        <v>5</v>
      </c>
      <c r="F389">
        <v>7</v>
      </c>
      <c r="G389">
        <v>7</v>
      </c>
      <c r="H389">
        <v>40</v>
      </c>
      <c r="I389">
        <v>0</v>
      </c>
      <c r="J389">
        <v>0</v>
      </c>
      <c r="K389">
        <v>0</v>
      </c>
      <c r="L389">
        <v>0</v>
      </c>
      <c r="M389">
        <v>3</v>
      </c>
      <c r="N389">
        <v>0</v>
      </c>
      <c r="O389">
        <v>2</v>
      </c>
      <c r="P389">
        <v>0</v>
      </c>
      <c r="Q389">
        <v>1</v>
      </c>
      <c r="R389">
        <v>6</v>
      </c>
      <c r="S389">
        <v>0</v>
      </c>
      <c r="T389">
        <v>2</v>
      </c>
      <c r="U389">
        <v>1</v>
      </c>
      <c r="V389">
        <v>1</v>
      </c>
      <c r="W389">
        <v>0</v>
      </c>
      <c r="X389">
        <v>2</v>
      </c>
      <c r="Z389">
        <v>3</v>
      </c>
      <c r="AA389">
        <v>4</v>
      </c>
    </row>
    <row r="390" spans="1:27" x14ac:dyDescent="0.4">
      <c r="A390">
        <v>392</v>
      </c>
      <c r="B390">
        <v>392</v>
      </c>
      <c r="C390" t="s">
        <v>472</v>
      </c>
      <c r="D390">
        <v>3</v>
      </c>
      <c r="E390">
        <v>5</v>
      </c>
      <c r="F390">
        <v>7</v>
      </c>
      <c r="G390">
        <v>7</v>
      </c>
      <c r="H390">
        <v>40</v>
      </c>
      <c r="I390">
        <v>0</v>
      </c>
      <c r="J390">
        <v>0</v>
      </c>
      <c r="K390">
        <v>1</v>
      </c>
      <c r="L390">
        <v>0</v>
      </c>
      <c r="M390">
        <v>4</v>
      </c>
      <c r="N390">
        <v>0</v>
      </c>
      <c r="O390">
        <v>3</v>
      </c>
      <c r="P390">
        <v>0</v>
      </c>
      <c r="Q390">
        <v>3</v>
      </c>
      <c r="R390">
        <v>8</v>
      </c>
      <c r="S390">
        <v>0</v>
      </c>
      <c r="T390">
        <v>3</v>
      </c>
      <c r="U390">
        <v>1</v>
      </c>
      <c r="V390">
        <v>1</v>
      </c>
      <c r="W390">
        <v>0</v>
      </c>
      <c r="X390">
        <v>2</v>
      </c>
      <c r="Z390">
        <v>3</v>
      </c>
      <c r="AA390">
        <v>4</v>
      </c>
    </row>
    <row r="391" spans="1:27" x14ac:dyDescent="0.4">
      <c r="A391">
        <v>393</v>
      </c>
      <c r="B391">
        <v>393</v>
      </c>
      <c r="C391" t="s">
        <v>473</v>
      </c>
      <c r="D391">
        <v>1</v>
      </c>
      <c r="E391">
        <v>1</v>
      </c>
      <c r="F391">
        <v>1</v>
      </c>
      <c r="G391">
        <v>1</v>
      </c>
      <c r="H391">
        <v>0</v>
      </c>
      <c r="I391">
        <v>3</v>
      </c>
      <c r="J391">
        <v>0</v>
      </c>
      <c r="K391">
        <v>3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2</v>
      </c>
      <c r="R391">
        <v>0</v>
      </c>
      <c r="S391">
        <v>1</v>
      </c>
      <c r="T391">
        <v>3</v>
      </c>
      <c r="U391">
        <v>0</v>
      </c>
      <c r="V391">
        <v>1</v>
      </c>
      <c r="W391">
        <v>2</v>
      </c>
      <c r="X391">
        <v>0</v>
      </c>
      <c r="Z391">
        <v>0</v>
      </c>
      <c r="AA391">
        <v>0</v>
      </c>
    </row>
    <row r="392" spans="1:27" x14ac:dyDescent="0.4">
      <c r="A392">
        <v>394</v>
      </c>
      <c r="B392">
        <v>394</v>
      </c>
      <c r="C392" t="s">
        <v>474</v>
      </c>
      <c r="D392">
        <v>1</v>
      </c>
      <c r="E392">
        <v>1</v>
      </c>
      <c r="F392">
        <v>1</v>
      </c>
      <c r="G392">
        <v>1</v>
      </c>
      <c r="H392">
        <v>0</v>
      </c>
      <c r="I392">
        <v>3</v>
      </c>
      <c r="J392">
        <v>0</v>
      </c>
      <c r="K392">
        <v>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3</v>
      </c>
      <c r="R392">
        <v>0</v>
      </c>
      <c r="S392">
        <v>1</v>
      </c>
      <c r="T392">
        <v>4</v>
      </c>
      <c r="U392">
        <v>0</v>
      </c>
      <c r="V392">
        <v>1</v>
      </c>
      <c r="W392">
        <v>2</v>
      </c>
      <c r="X392">
        <v>0</v>
      </c>
      <c r="Z392">
        <v>0</v>
      </c>
      <c r="AA392">
        <v>0</v>
      </c>
    </row>
    <row r="393" spans="1:27" x14ac:dyDescent="0.4">
      <c r="A393">
        <v>395</v>
      </c>
      <c r="B393">
        <v>395</v>
      </c>
      <c r="C393" t="s">
        <v>476</v>
      </c>
      <c r="D393">
        <v>26</v>
      </c>
      <c r="E393">
        <v>46</v>
      </c>
      <c r="F393">
        <v>53</v>
      </c>
      <c r="G393">
        <v>49</v>
      </c>
      <c r="H393">
        <v>41</v>
      </c>
      <c r="I393">
        <v>0</v>
      </c>
      <c r="J393">
        <v>16</v>
      </c>
      <c r="K393">
        <v>1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17</v>
      </c>
      <c r="S393">
        <v>0</v>
      </c>
      <c r="T393">
        <v>3</v>
      </c>
      <c r="U393">
        <v>12</v>
      </c>
      <c r="V393">
        <v>18</v>
      </c>
      <c r="W393">
        <v>0</v>
      </c>
      <c r="X393">
        <v>23</v>
      </c>
      <c r="Z393">
        <v>10</v>
      </c>
      <c r="AA393">
        <v>20</v>
      </c>
    </row>
    <row r="394" spans="1:27" x14ac:dyDescent="0.4">
      <c r="A394">
        <v>396</v>
      </c>
      <c r="B394">
        <v>396</v>
      </c>
      <c r="C394" t="s">
        <v>477</v>
      </c>
      <c r="D394">
        <v>26</v>
      </c>
      <c r="E394">
        <v>46</v>
      </c>
      <c r="F394">
        <v>53</v>
      </c>
      <c r="G394">
        <v>49</v>
      </c>
      <c r="H394">
        <v>41</v>
      </c>
      <c r="I394">
        <v>0</v>
      </c>
      <c r="J394">
        <v>17</v>
      </c>
      <c r="K394">
        <v>2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19</v>
      </c>
      <c r="S394">
        <v>0</v>
      </c>
      <c r="T394">
        <v>4</v>
      </c>
      <c r="U394">
        <v>13</v>
      </c>
      <c r="V394">
        <v>18</v>
      </c>
      <c r="W394">
        <v>0</v>
      </c>
      <c r="X394">
        <v>24</v>
      </c>
      <c r="Z394">
        <v>11</v>
      </c>
      <c r="AA394">
        <v>21</v>
      </c>
    </row>
    <row r="395" spans="1:27" x14ac:dyDescent="0.4">
      <c r="A395">
        <v>501</v>
      </c>
      <c r="B395">
        <v>0</v>
      </c>
      <c r="C395" t="s">
        <v>478</v>
      </c>
      <c r="D395">
        <v>1</v>
      </c>
      <c r="E395">
        <v>1</v>
      </c>
      <c r="F395">
        <v>1</v>
      </c>
      <c r="G395">
        <v>1</v>
      </c>
      <c r="H395">
        <v>0</v>
      </c>
      <c r="I395">
        <v>1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1</v>
      </c>
      <c r="T395">
        <v>0</v>
      </c>
      <c r="U395">
        <v>0</v>
      </c>
      <c r="V395">
        <v>0</v>
      </c>
      <c r="W395">
        <v>0</v>
      </c>
      <c r="X395">
        <v>0</v>
      </c>
      <c r="Z395">
        <v>0</v>
      </c>
      <c r="AA395">
        <v>0</v>
      </c>
    </row>
    <row r="396" spans="1:27" x14ac:dyDescent="0.4">
      <c r="A396">
        <v>502</v>
      </c>
      <c r="B396">
        <v>0</v>
      </c>
      <c r="C396" t="s">
        <v>479</v>
      </c>
      <c r="D396">
        <v>1</v>
      </c>
      <c r="E396">
        <v>1</v>
      </c>
      <c r="F396">
        <v>1</v>
      </c>
      <c r="G396">
        <v>1</v>
      </c>
      <c r="H396">
        <v>0</v>
      </c>
      <c r="I396">
        <v>2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  <c r="Z396">
        <v>0</v>
      </c>
      <c r="AA396">
        <v>0</v>
      </c>
    </row>
    <row r="397" spans="1:27" x14ac:dyDescent="0.4">
      <c r="A397">
        <v>503</v>
      </c>
      <c r="B397">
        <v>0</v>
      </c>
      <c r="C397" t="s">
        <v>480</v>
      </c>
      <c r="D397">
        <v>1</v>
      </c>
      <c r="E397">
        <v>1</v>
      </c>
      <c r="F397">
        <v>1</v>
      </c>
      <c r="G397">
        <v>16</v>
      </c>
      <c r="H397">
        <v>0</v>
      </c>
      <c r="I397">
        <v>1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1</v>
      </c>
      <c r="T397">
        <v>2</v>
      </c>
      <c r="U397">
        <v>0</v>
      </c>
      <c r="V397">
        <v>0</v>
      </c>
      <c r="W397">
        <v>0</v>
      </c>
      <c r="X397">
        <v>0</v>
      </c>
      <c r="Z397">
        <v>0</v>
      </c>
      <c r="AA397">
        <v>0</v>
      </c>
    </row>
    <row r="398" spans="1:27" x14ac:dyDescent="0.4">
      <c r="A398">
        <v>504</v>
      </c>
      <c r="B398">
        <v>0</v>
      </c>
      <c r="C398" t="s">
        <v>481</v>
      </c>
      <c r="D398">
        <v>1</v>
      </c>
      <c r="E398">
        <v>1</v>
      </c>
      <c r="F398">
        <v>2</v>
      </c>
      <c r="G398">
        <v>2</v>
      </c>
      <c r="H398">
        <v>0</v>
      </c>
      <c r="I398">
        <v>2</v>
      </c>
      <c r="J398">
        <v>0</v>
      </c>
      <c r="K398">
        <v>2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2</v>
      </c>
      <c r="T398">
        <v>0</v>
      </c>
      <c r="U398">
        <v>0</v>
      </c>
      <c r="V398">
        <v>0</v>
      </c>
      <c r="W398">
        <v>0</v>
      </c>
      <c r="X398">
        <v>0</v>
      </c>
      <c r="Z398">
        <v>0</v>
      </c>
      <c r="AA398">
        <v>0</v>
      </c>
    </row>
    <row r="399" spans="1:27" x14ac:dyDescent="0.4">
      <c r="A399">
        <v>505</v>
      </c>
      <c r="B399">
        <v>0</v>
      </c>
      <c r="C399" t="s">
        <v>482</v>
      </c>
      <c r="D399">
        <v>1</v>
      </c>
      <c r="E399">
        <v>1</v>
      </c>
      <c r="F399">
        <v>2</v>
      </c>
      <c r="G399">
        <v>2</v>
      </c>
      <c r="H399">
        <v>0</v>
      </c>
      <c r="I399">
        <v>8</v>
      </c>
      <c r="J399">
        <v>0</v>
      </c>
      <c r="K399">
        <v>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2</v>
      </c>
      <c r="T399">
        <v>0</v>
      </c>
      <c r="U399">
        <v>0</v>
      </c>
      <c r="V399">
        <v>0</v>
      </c>
      <c r="W399">
        <v>0</v>
      </c>
      <c r="X399">
        <v>0</v>
      </c>
      <c r="Z399">
        <v>0</v>
      </c>
      <c r="AA399">
        <v>0</v>
      </c>
    </row>
    <row r="400" spans="1:27" x14ac:dyDescent="0.4">
      <c r="A400">
        <v>506</v>
      </c>
      <c r="B400">
        <v>0</v>
      </c>
      <c r="C400" t="s">
        <v>483</v>
      </c>
      <c r="D400">
        <v>1</v>
      </c>
      <c r="E400">
        <v>1</v>
      </c>
      <c r="F400">
        <v>2</v>
      </c>
      <c r="G400">
        <v>2</v>
      </c>
      <c r="H400">
        <v>0</v>
      </c>
      <c r="I400">
        <v>3</v>
      </c>
      <c r="J400">
        <v>0</v>
      </c>
      <c r="K400">
        <v>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2</v>
      </c>
      <c r="T400">
        <v>0</v>
      </c>
      <c r="U400">
        <v>0</v>
      </c>
      <c r="V400">
        <v>0</v>
      </c>
      <c r="W400">
        <v>0</v>
      </c>
      <c r="X400">
        <v>0</v>
      </c>
      <c r="Z400">
        <v>0</v>
      </c>
      <c r="AA400">
        <v>0</v>
      </c>
    </row>
    <row r="401" spans="1:27" x14ac:dyDescent="0.4">
      <c r="A401">
        <v>507</v>
      </c>
      <c r="B401">
        <v>0</v>
      </c>
      <c r="C401" t="s">
        <v>484</v>
      </c>
      <c r="D401">
        <v>1</v>
      </c>
      <c r="E401">
        <v>1</v>
      </c>
      <c r="F401">
        <v>3</v>
      </c>
      <c r="G401">
        <v>3</v>
      </c>
      <c r="H401">
        <v>0</v>
      </c>
      <c r="I401">
        <v>10</v>
      </c>
      <c r="J401">
        <v>0</v>
      </c>
      <c r="K401">
        <v>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3</v>
      </c>
      <c r="T401">
        <v>0</v>
      </c>
      <c r="U401">
        <v>0</v>
      </c>
      <c r="V401">
        <v>0</v>
      </c>
      <c r="W401">
        <v>0</v>
      </c>
      <c r="X401">
        <v>0</v>
      </c>
      <c r="Z401">
        <v>0</v>
      </c>
      <c r="AA401">
        <v>0</v>
      </c>
    </row>
    <row r="402" spans="1:27" x14ac:dyDescent="0.4">
      <c r="A402">
        <v>508</v>
      </c>
      <c r="B402">
        <v>0</v>
      </c>
      <c r="C402" t="s">
        <v>485</v>
      </c>
      <c r="D402">
        <v>1</v>
      </c>
      <c r="E402">
        <v>1</v>
      </c>
      <c r="F402">
        <v>3</v>
      </c>
      <c r="G402">
        <v>3</v>
      </c>
      <c r="H402">
        <v>0</v>
      </c>
      <c r="I402">
        <v>15</v>
      </c>
      <c r="J402">
        <v>0</v>
      </c>
      <c r="K402">
        <v>4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3</v>
      </c>
      <c r="T402">
        <v>1</v>
      </c>
      <c r="U402">
        <v>0</v>
      </c>
      <c r="V402">
        <v>0</v>
      </c>
      <c r="W402">
        <v>0</v>
      </c>
      <c r="X402">
        <v>0</v>
      </c>
      <c r="Z402">
        <v>0</v>
      </c>
      <c r="AA402">
        <v>0</v>
      </c>
    </row>
    <row r="403" spans="1:27" x14ac:dyDescent="0.4">
      <c r="A403">
        <v>509</v>
      </c>
      <c r="B403">
        <v>0</v>
      </c>
      <c r="C403" t="s">
        <v>486</v>
      </c>
      <c r="D403">
        <v>1</v>
      </c>
      <c r="E403">
        <v>1</v>
      </c>
      <c r="F403">
        <v>3</v>
      </c>
      <c r="G403">
        <v>3</v>
      </c>
      <c r="H403">
        <v>0</v>
      </c>
      <c r="I403">
        <v>20</v>
      </c>
      <c r="J403">
        <v>0</v>
      </c>
      <c r="K403">
        <v>5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3</v>
      </c>
      <c r="T403">
        <v>2</v>
      </c>
      <c r="U403">
        <v>0</v>
      </c>
      <c r="V403">
        <v>0</v>
      </c>
      <c r="W403">
        <v>0</v>
      </c>
      <c r="X403">
        <v>0</v>
      </c>
      <c r="Z403">
        <v>0</v>
      </c>
      <c r="AA403">
        <v>0</v>
      </c>
    </row>
    <row r="404" spans="1:27" x14ac:dyDescent="0.4">
      <c r="A404">
        <v>510</v>
      </c>
      <c r="B404">
        <v>0</v>
      </c>
      <c r="C404" t="s">
        <v>481</v>
      </c>
      <c r="D404">
        <v>1</v>
      </c>
      <c r="E404">
        <v>2</v>
      </c>
      <c r="F404">
        <v>4</v>
      </c>
      <c r="G404">
        <v>16</v>
      </c>
      <c r="H404">
        <v>0</v>
      </c>
      <c r="I404">
        <v>1</v>
      </c>
      <c r="J404">
        <v>0</v>
      </c>
      <c r="K404">
        <v>2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1</v>
      </c>
      <c r="T404">
        <v>0</v>
      </c>
      <c r="U404">
        <v>0</v>
      </c>
      <c r="V404">
        <v>0</v>
      </c>
      <c r="W404">
        <v>0</v>
      </c>
      <c r="X404">
        <v>0</v>
      </c>
      <c r="Z404">
        <v>0</v>
      </c>
      <c r="AA404">
        <v>0</v>
      </c>
    </row>
    <row r="405" spans="1:27" x14ac:dyDescent="0.4">
      <c r="A405">
        <v>511</v>
      </c>
      <c r="B405">
        <v>0</v>
      </c>
      <c r="C405" t="s">
        <v>487</v>
      </c>
      <c r="D405">
        <v>1</v>
      </c>
      <c r="E405">
        <v>2</v>
      </c>
      <c r="F405">
        <v>4</v>
      </c>
      <c r="G405">
        <v>4</v>
      </c>
      <c r="H405">
        <v>0</v>
      </c>
      <c r="I405">
        <v>1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</v>
      </c>
      <c r="T405">
        <v>0</v>
      </c>
      <c r="U405">
        <v>0</v>
      </c>
      <c r="V405">
        <v>0</v>
      </c>
      <c r="W405">
        <v>0</v>
      </c>
      <c r="X405">
        <v>0</v>
      </c>
      <c r="Z405">
        <v>0</v>
      </c>
      <c r="AA405">
        <v>0</v>
      </c>
    </row>
    <row r="406" spans="1:27" x14ac:dyDescent="0.4">
      <c r="A406">
        <v>512</v>
      </c>
      <c r="B406">
        <v>0</v>
      </c>
      <c r="C406" t="s">
        <v>488</v>
      </c>
      <c r="D406">
        <v>1</v>
      </c>
      <c r="E406">
        <v>2</v>
      </c>
      <c r="F406">
        <v>4</v>
      </c>
      <c r="G406">
        <v>4</v>
      </c>
      <c r="H406">
        <v>0</v>
      </c>
      <c r="I406">
        <v>7</v>
      </c>
      <c r="J406">
        <v>0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2</v>
      </c>
      <c r="T406">
        <v>1</v>
      </c>
      <c r="U406">
        <v>0</v>
      </c>
      <c r="V406">
        <v>0</v>
      </c>
      <c r="W406">
        <v>0</v>
      </c>
      <c r="X406">
        <v>0</v>
      </c>
      <c r="Z406">
        <v>0</v>
      </c>
      <c r="AA406">
        <v>0</v>
      </c>
    </row>
    <row r="407" spans="1:27" x14ac:dyDescent="0.4">
      <c r="A407">
        <v>513</v>
      </c>
      <c r="B407">
        <v>0</v>
      </c>
      <c r="C407" t="s">
        <v>489</v>
      </c>
      <c r="D407">
        <v>2</v>
      </c>
      <c r="E407">
        <v>3</v>
      </c>
      <c r="F407">
        <v>5</v>
      </c>
      <c r="G407">
        <v>5</v>
      </c>
      <c r="H407">
        <v>0</v>
      </c>
      <c r="I407">
        <v>0</v>
      </c>
      <c r="J407">
        <v>2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Z407">
        <v>0</v>
      </c>
      <c r="AA407">
        <v>0</v>
      </c>
    </row>
    <row r="408" spans="1:27" x14ac:dyDescent="0.4">
      <c r="A408">
        <v>514</v>
      </c>
      <c r="B408">
        <v>0</v>
      </c>
      <c r="C408" t="s">
        <v>490</v>
      </c>
      <c r="D408">
        <v>2</v>
      </c>
      <c r="E408">
        <v>3</v>
      </c>
      <c r="F408">
        <v>5</v>
      </c>
      <c r="G408">
        <v>5</v>
      </c>
      <c r="H408">
        <v>0</v>
      </c>
      <c r="I408">
        <v>0</v>
      </c>
      <c r="J408">
        <v>5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Z408">
        <v>0</v>
      </c>
      <c r="AA408">
        <v>0</v>
      </c>
    </row>
    <row r="409" spans="1:27" x14ac:dyDescent="0.4">
      <c r="A409">
        <v>515</v>
      </c>
      <c r="B409">
        <v>0</v>
      </c>
      <c r="C409" t="s">
        <v>491</v>
      </c>
      <c r="D409">
        <v>2</v>
      </c>
      <c r="E409">
        <v>3</v>
      </c>
      <c r="F409">
        <v>5</v>
      </c>
      <c r="G409">
        <v>5</v>
      </c>
      <c r="H409">
        <v>0</v>
      </c>
      <c r="I409">
        <v>0</v>
      </c>
      <c r="J409">
        <v>10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0</v>
      </c>
      <c r="V409">
        <v>0</v>
      </c>
      <c r="W409">
        <v>0</v>
      </c>
      <c r="X409">
        <v>0</v>
      </c>
      <c r="Z409">
        <v>0</v>
      </c>
      <c r="AA409">
        <v>0</v>
      </c>
    </row>
    <row r="410" spans="1:27" x14ac:dyDescent="0.4">
      <c r="A410">
        <v>516</v>
      </c>
      <c r="B410">
        <v>0</v>
      </c>
      <c r="C410" t="s">
        <v>492</v>
      </c>
      <c r="D410">
        <v>3</v>
      </c>
      <c r="E410">
        <v>5</v>
      </c>
      <c r="F410">
        <v>8</v>
      </c>
      <c r="G410">
        <v>8</v>
      </c>
      <c r="H410">
        <v>0</v>
      </c>
      <c r="I410">
        <v>0</v>
      </c>
      <c r="J410">
        <v>4</v>
      </c>
      <c r="K410">
        <v>0</v>
      </c>
      <c r="L410">
        <v>0</v>
      </c>
      <c r="M410">
        <v>2</v>
      </c>
      <c r="N410">
        <v>0</v>
      </c>
      <c r="O410">
        <v>5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Z410">
        <v>0</v>
      </c>
      <c r="AA410">
        <v>0</v>
      </c>
    </row>
    <row r="411" spans="1:27" x14ac:dyDescent="0.4">
      <c r="A411">
        <v>517</v>
      </c>
      <c r="B411">
        <v>0</v>
      </c>
      <c r="C411" t="s">
        <v>493</v>
      </c>
      <c r="D411">
        <v>3</v>
      </c>
      <c r="E411">
        <v>5</v>
      </c>
      <c r="F411">
        <v>8</v>
      </c>
      <c r="G411">
        <v>8</v>
      </c>
      <c r="H411">
        <v>0</v>
      </c>
      <c r="I411">
        <v>0</v>
      </c>
      <c r="J411">
        <v>6</v>
      </c>
      <c r="K411">
        <v>0</v>
      </c>
      <c r="L411">
        <v>0</v>
      </c>
      <c r="M411">
        <v>4</v>
      </c>
      <c r="N411">
        <v>0</v>
      </c>
      <c r="O411">
        <v>5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Z411">
        <v>0</v>
      </c>
      <c r="AA411">
        <v>0</v>
      </c>
    </row>
    <row r="412" spans="1:27" x14ac:dyDescent="0.4">
      <c r="A412">
        <v>518</v>
      </c>
      <c r="B412">
        <v>0</v>
      </c>
      <c r="C412" t="s">
        <v>494</v>
      </c>
      <c r="D412">
        <v>3</v>
      </c>
      <c r="E412">
        <v>5</v>
      </c>
      <c r="F412">
        <v>8</v>
      </c>
      <c r="G412">
        <v>8</v>
      </c>
      <c r="H412">
        <v>0</v>
      </c>
      <c r="I412">
        <v>0</v>
      </c>
      <c r="J412">
        <v>11</v>
      </c>
      <c r="K412">
        <v>4</v>
      </c>
      <c r="L412">
        <v>0</v>
      </c>
      <c r="M412">
        <v>7</v>
      </c>
      <c r="N412">
        <v>0</v>
      </c>
      <c r="O412">
        <v>5</v>
      </c>
      <c r="P412">
        <v>0</v>
      </c>
      <c r="Q412">
        <v>0</v>
      </c>
      <c r="R412">
        <v>0</v>
      </c>
      <c r="S412">
        <v>0</v>
      </c>
      <c r="T412">
        <v>2</v>
      </c>
      <c r="U412">
        <v>0</v>
      </c>
      <c r="V412">
        <v>0</v>
      </c>
      <c r="W412">
        <v>0</v>
      </c>
      <c r="X412">
        <v>0</v>
      </c>
      <c r="Z412">
        <v>0</v>
      </c>
      <c r="AA412">
        <v>0</v>
      </c>
    </row>
    <row r="413" spans="1:27" x14ac:dyDescent="0.4">
      <c r="A413">
        <v>519</v>
      </c>
      <c r="B413">
        <v>0</v>
      </c>
      <c r="C413" t="s">
        <v>495</v>
      </c>
      <c r="D413">
        <v>3</v>
      </c>
      <c r="E413">
        <v>5</v>
      </c>
      <c r="F413">
        <v>6</v>
      </c>
      <c r="G413">
        <v>6</v>
      </c>
      <c r="H413">
        <v>0</v>
      </c>
      <c r="I413">
        <v>0</v>
      </c>
      <c r="J413">
        <v>0</v>
      </c>
      <c r="K413">
        <v>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Z413">
        <v>0</v>
      </c>
      <c r="AA413">
        <v>0</v>
      </c>
    </row>
    <row r="414" spans="1:27" x14ac:dyDescent="0.4">
      <c r="A414">
        <v>520</v>
      </c>
      <c r="B414">
        <v>0</v>
      </c>
      <c r="C414" t="s">
        <v>496</v>
      </c>
      <c r="D414">
        <v>3</v>
      </c>
      <c r="E414">
        <v>5</v>
      </c>
      <c r="F414">
        <v>6</v>
      </c>
      <c r="G414">
        <v>6</v>
      </c>
      <c r="H414">
        <v>0</v>
      </c>
      <c r="I414">
        <v>0</v>
      </c>
      <c r="J414">
        <v>0</v>
      </c>
      <c r="K414">
        <v>5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Z414">
        <v>0</v>
      </c>
      <c r="AA414">
        <v>0</v>
      </c>
    </row>
    <row r="415" spans="1:27" x14ac:dyDescent="0.4">
      <c r="A415">
        <v>521</v>
      </c>
      <c r="B415">
        <v>0</v>
      </c>
      <c r="C415" t="s">
        <v>497</v>
      </c>
      <c r="D415">
        <v>3</v>
      </c>
      <c r="E415">
        <v>5</v>
      </c>
      <c r="F415">
        <v>6</v>
      </c>
      <c r="G415">
        <v>6</v>
      </c>
      <c r="H415">
        <v>0</v>
      </c>
      <c r="I415">
        <v>0</v>
      </c>
      <c r="J415">
        <v>0</v>
      </c>
      <c r="K415">
        <v>9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Z415">
        <v>0</v>
      </c>
      <c r="AA415">
        <v>0</v>
      </c>
    </row>
    <row r="416" spans="1:27" x14ac:dyDescent="0.4">
      <c r="A416">
        <v>522</v>
      </c>
      <c r="B416">
        <v>0</v>
      </c>
      <c r="C416" t="s">
        <v>498</v>
      </c>
      <c r="D416">
        <v>3</v>
      </c>
      <c r="E416">
        <v>5</v>
      </c>
      <c r="F416">
        <v>6</v>
      </c>
      <c r="G416">
        <v>6</v>
      </c>
      <c r="H416">
        <v>0</v>
      </c>
      <c r="I416">
        <v>0</v>
      </c>
      <c r="J416">
        <v>0</v>
      </c>
      <c r="K416">
        <v>13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3</v>
      </c>
      <c r="U416">
        <v>0</v>
      </c>
      <c r="V416">
        <v>0</v>
      </c>
      <c r="W416">
        <v>0</v>
      </c>
      <c r="X416">
        <v>0</v>
      </c>
      <c r="Z416">
        <v>0</v>
      </c>
      <c r="AA416">
        <v>0</v>
      </c>
    </row>
    <row r="417" spans="1:27" x14ac:dyDescent="0.4">
      <c r="A417">
        <v>523</v>
      </c>
      <c r="B417">
        <v>0</v>
      </c>
      <c r="C417" t="s">
        <v>499</v>
      </c>
      <c r="D417">
        <v>3</v>
      </c>
      <c r="E417">
        <v>5</v>
      </c>
      <c r="F417">
        <v>7</v>
      </c>
      <c r="G417">
        <v>7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0</v>
      </c>
      <c r="R417">
        <v>3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Z417">
        <v>0</v>
      </c>
      <c r="AA417">
        <v>0</v>
      </c>
    </row>
    <row r="418" spans="1:27" x14ac:dyDescent="0.4">
      <c r="A418">
        <v>524</v>
      </c>
      <c r="B418">
        <v>0</v>
      </c>
      <c r="C418" t="s">
        <v>500</v>
      </c>
      <c r="D418">
        <v>3</v>
      </c>
      <c r="E418">
        <v>5</v>
      </c>
      <c r="F418">
        <v>7</v>
      </c>
      <c r="G418">
        <v>7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2</v>
      </c>
      <c r="N418">
        <v>0</v>
      </c>
      <c r="O418">
        <v>0</v>
      </c>
      <c r="P418">
        <v>0</v>
      </c>
      <c r="Q418">
        <v>0</v>
      </c>
      <c r="R418">
        <v>6</v>
      </c>
      <c r="S418">
        <v>0</v>
      </c>
      <c r="T418">
        <v>1</v>
      </c>
      <c r="U418">
        <v>0</v>
      </c>
      <c r="V418">
        <v>0</v>
      </c>
      <c r="W418">
        <v>0</v>
      </c>
      <c r="X418">
        <v>0</v>
      </c>
      <c r="Z418">
        <v>0</v>
      </c>
      <c r="AA418">
        <v>0</v>
      </c>
    </row>
    <row r="419" spans="1:27" x14ac:dyDescent="0.4">
      <c r="A419">
        <v>525</v>
      </c>
      <c r="B419">
        <v>0</v>
      </c>
      <c r="C419" t="s">
        <v>501</v>
      </c>
      <c r="D419">
        <v>5</v>
      </c>
      <c r="E419">
        <v>7</v>
      </c>
      <c r="F419">
        <v>10</v>
      </c>
      <c r="G419">
        <v>10</v>
      </c>
      <c r="H419">
        <v>0</v>
      </c>
      <c r="I419">
        <v>0</v>
      </c>
      <c r="J419">
        <v>0</v>
      </c>
      <c r="K419">
        <v>1</v>
      </c>
      <c r="L419">
        <v>0</v>
      </c>
      <c r="M419">
        <v>1</v>
      </c>
      <c r="N419">
        <v>0</v>
      </c>
      <c r="O419">
        <v>5</v>
      </c>
      <c r="P419">
        <v>0</v>
      </c>
      <c r="Q419">
        <v>0</v>
      </c>
      <c r="R419">
        <v>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Z419">
        <v>0</v>
      </c>
      <c r="AA419">
        <v>0</v>
      </c>
    </row>
    <row r="420" spans="1:27" x14ac:dyDescent="0.4">
      <c r="A420">
        <v>526</v>
      </c>
      <c r="B420">
        <v>0</v>
      </c>
      <c r="C420" t="s">
        <v>502</v>
      </c>
      <c r="D420">
        <v>5</v>
      </c>
      <c r="E420">
        <v>7</v>
      </c>
      <c r="F420">
        <v>10</v>
      </c>
      <c r="G420">
        <v>10</v>
      </c>
      <c r="H420">
        <v>0</v>
      </c>
      <c r="I420">
        <v>0</v>
      </c>
      <c r="J420">
        <v>0</v>
      </c>
      <c r="K420">
        <v>2</v>
      </c>
      <c r="L420">
        <v>0</v>
      </c>
      <c r="M420">
        <v>2</v>
      </c>
      <c r="N420">
        <v>0</v>
      </c>
      <c r="O420">
        <v>10</v>
      </c>
      <c r="P420">
        <v>0</v>
      </c>
      <c r="Q420">
        <v>0</v>
      </c>
      <c r="R420">
        <v>4</v>
      </c>
      <c r="S420">
        <v>0</v>
      </c>
      <c r="T420">
        <v>1</v>
      </c>
      <c r="U420">
        <v>0</v>
      </c>
      <c r="V420">
        <v>0</v>
      </c>
      <c r="W420">
        <v>0</v>
      </c>
      <c r="X420">
        <v>0</v>
      </c>
      <c r="Z420">
        <v>0</v>
      </c>
      <c r="AA420">
        <v>0</v>
      </c>
    </row>
    <row r="421" spans="1:27" x14ac:dyDescent="0.4">
      <c r="A421">
        <v>527</v>
      </c>
      <c r="B421">
        <v>0</v>
      </c>
      <c r="C421" t="s">
        <v>503</v>
      </c>
      <c r="D421">
        <v>5</v>
      </c>
      <c r="E421">
        <v>8</v>
      </c>
      <c r="F421">
        <v>12</v>
      </c>
      <c r="G421">
        <v>11</v>
      </c>
      <c r="H421">
        <v>0</v>
      </c>
      <c r="I421">
        <v>0</v>
      </c>
      <c r="J421">
        <v>0</v>
      </c>
      <c r="K421">
        <v>5</v>
      </c>
      <c r="L421">
        <v>0</v>
      </c>
      <c r="M421">
        <v>0</v>
      </c>
      <c r="N421">
        <v>0</v>
      </c>
      <c r="O421">
        <v>5</v>
      </c>
      <c r="P421">
        <v>0</v>
      </c>
      <c r="Q421">
        <v>5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Z421">
        <v>0</v>
      </c>
      <c r="AA421">
        <v>0</v>
      </c>
    </row>
    <row r="422" spans="1:27" x14ac:dyDescent="0.4">
      <c r="A422">
        <v>528</v>
      </c>
      <c r="B422">
        <v>0</v>
      </c>
      <c r="C422" t="s">
        <v>504</v>
      </c>
      <c r="D422">
        <v>5</v>
      </c>
      <c r="E422">
        <v>8</v>
      </c>
      <c r="F422">
        <v>12</v>
      </c>
      <c r="G422">
        <v>11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5</v>
      </c>
      <c r="P422">
        <v>0</v>
      </c>
      <c r="Q422">
        <v>10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Z422">
        <v>0</v>
      </c>
      <c r="AA422">
        <v>0</v>
      </c>
    </row>
    <row r="423" spans="1:27" x14ac:dyDescent="0.4">
      <c r="A423">
        <v>529</v>
      </c>
      <c r="B423">
        <v>0</v>
      </c>
      <c r="C423" t="s">
        <v>505</v>
      </c>
      <c r="D423">
        <v>5</v>
      </c>
      <c r="E423">
        <v>8</v>
      </c>
      <c r="F423">
        <v>12</v>
      </c>
      <c r="G423">
        <v>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10</v>
      </c>
      <c r="P423">
        <v>0</v>
      </c>
      <c r="Q423">
        <v>15</v>
      </c>
      <c r="R423">
        <v>0</v>
      </c>
      <c r="S423">
        <v>0</v>
      </c>
      <c r="T423">
        <v>2</v>
      </c>
      <c r="U423">
        <v>0</v>
      </c>
      <c r="V423">
        <v>0</v>
      </c>
      <c r="W423">
        <v>0</v>
      </c>
      <c r="X423">
        <v>0</v>
      </c>
      <c r="Z423">
        <v>0</v>
      </c>
      <c r="AA423">
        <v>0</v>
      </c>
    </row>
    <row r="424" spans="1:27" x14ac:dyDescent="0.4">
      <c r="A424">
        <v>530</v>
      </c>
      <c r="B424">
        <v>0</v>
      </c>
      <c r="C424" t="s">
        <v>506</v>
      </c>
      <c r="D424">
        <v>5</v>
      </c>
      <c r="E424">
        <v>8</v>
      </c>
      <c r="F424">
        <v>13</v>
      </c>
      <c r="G424">
        <v>11</v>
      </c>
      <c r="H424">
        <v>0</v>
      </c>
      <c r="I424">
        <v>0</v>
      </c>
      <c r="J424">
        <v>0</v>
      </c>
      <c r="K424">
        <v>10</v>
      </c>
      <c r="L424">
        <v>0</v>
      </c>
      <c r="M424">
        <v>0</v>
      </c>
      <c r="N424">
        <v>0</v>
      </c>
      <c r="O424">
        <v>10</v>
      </c>
      <c r="P424">
        <v>0</v>
      </c>
      <c r="Q424">
        <v>5</v>
      </c>
      <c r="R424">
        <v>0</v>
      </c>
      <c r="S424">
        <v>0</v>
      </c>
      <c r="T424">
        <v>2</v>
      </c>
      <c r="U424">
        <v>0</v>
      </c>
      <c r="V424">
        <v>0</v>
      </c>
      <c r="W424">
        <v>0</v>
      </c>
      <c r="X424">
        <v>0</v>
      </c>
      <c r="Z424">
        <v>0</v>
      </c>
      <c r="AA424">
        <v>0</v>
      </c>
    </row>
    <row r="425" spans="1:27" x14ac:dyDescent="0.4">
      <c r="A425">
        <v>531</v>
      </c>
      <c r="B425">
        <v>0</v>
      </c>
      <c r="C425" t="s">
        <v>507</v>
      </c>
      <c r="D425">
        <v>5</v>
      </c>
      <c r="E425">
        <v>8</v>
      </c>
      <c r="F425">
        <v>13</v>
      </c>
      <c r="G425">
        <v>11</v>
      </c>
      <c r="H425">
        <v>0</v>
      </c>
      <c r="I425">
        <v>0</v>
      </c>
      <c r="J425">
        <v>0</v>
      </c>
      <c r="K425">
        <v>5</v>
      </c>
      <c r="L425">
        <v>0</v>
      </c>
      <c r="M425">
        <v>5</v>
      </c>
      <c r="N425">
        <v>3</v>
      </c>
      <c r="O425">
        <v>16</v>
      </c>
      <c r="P425">
        <v>0</v>
      </c>
      <c r="Q425">
        <v>24</v>
      </c>
      <c r="R425">
        <v>0</v>
      </c>
      <c r="S425">
        <v>0</v>
      </c>
      <c r="T425">
        <v>3</v>
      </c>
      <c r="U425">
        <v>0</v>
      </c>
      <c r="V425">
        <v>0</v>
      </c>
      <c r="W425">
        <v>0</v>
      </c>
      <c r="X425">
        <v>0</v>
      </c>
      <c r="Z425">
        <v>0</v>
      </c>
      <c r="AA425">
        <v>0</v>
      </c>
    </row>
    <row r="426" spans="1:27" x14ac:dyDescent="0.4">
      <c r="A426">
        <v>532</v>
      </c>
      <c r="B426">
        <v>0</v>
      </c>
      <c r="C426" t="s">
        <v>508</v>
      </c>
      <c r="D426">
        <v>5</v>
      </c>
      <c r="E426">
        <v>8</v>
      </c>
      <c r="F426">
        <v>13</v>
      </c>
      <c r="G426">
        <v>11</v>
      </c>
      <c r="H426">
        <v>0</v>
      </c>
      <c r="I426">
        <v>0</v>
      </c>
      <c r="J426">
        <v>0</v>
      </c>
      <c r="K426">
        <v>18</v>
      </c>
      <c r="L426">
        <v>0</v>
      </c>
      <c r="M426">
        <v>5</v>
      </c>
      <c r="N426">
        <v>2</v>
      </c>
      <c r="O426">
        <v>12</v>
      </c>
      <c r="P426">
        <v>0</v>
      </c>
      <c r="Q426">
        <v>16</v>
      </c>
      <c r="R426">
        <v>0</v>
      </c>
      <c r="S426">
        <v>0</v>
      </c>
      <c r="T426">
        <v>4</v>
      </c>
      <c r="U426">
        <v>0</v>
      </c>
      <c r="V426">
        <v>0</v>
      </c>
      <c r="W426">
        <v>0</v>
      </c>
      <c r="X426">
        <v>0</v>
      </c>
      <c r="Z426">
        <v>0</v>
      </c>
      <c r="AA426">
        <v>0</v>
      </c>
    </row>
    <row r="427" spans="1:27" x14ac:dyDescent="0.4">
      <c r="A427">
        <v>533</v>
      </c>
      <c r="B427">
        <v>0</v>
      </c>
      <c r="C427" t="s">
        <v>509</v>
      </c>
      <c r="D427">
        <v>6</v>
      </c>
      <c r="E427">
        <v>9</v>
      </c>
      <c r="F427">
        <v>17</v>
      </c>
      <c r="G427">
        <v>19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10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Z427">
        <v>0</v>
      </c>
      <c r="AA427">
        <v>0</v>
      </c>
    </row>
    <row r="428" spans="1:27" x14ac:dyDescent="0.4">
      <c r="A428">
        <v>534</v>
      </c>
      <c r="B428">
        <v>0</v>
      </c>
      <c r="C428" t="s">
        <v>510</v>
      </c>
      <c r="D428">
        <v>6</v>
      </c>
      <c r="E428">
        <v>9</v>
      </c>
      <c r="F428">
        <v>17</v>
      </c>
      <c r="G428">
        <v>19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15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Z428">
        <v>0</v>
      </c>
      <c r="AA428">
        <v>0</v>
      </c>
    </row>
    <row r="429" spans="1:27" x14ac:dyDescent="0.4">
      <c r="A429">
        <v>535</v>
      </c>
      <c r="B429">
        <v>0</v>
      </c>
      <c r="C429" t="s">
        <v>511</v>
      </c>
      <c r="D429">
        <v>4</v>
      </c>
      <c r="E429">
        <v>6</v>
      </c>
      <c r="F429">
        <v>18</v>
      </c>
      <c r="G429">
        <v>12</v>
      </c>
      <c r="H429">
        <v>0</v>
      </c>
      <c r="I429">
        <v>0</v>
      </c>
      <c r="J429">
        <v>0</v>
      </c>
      <c r="K429">
        <v>10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Z429">
        <v>0</v>
      </c>
      <c r="AA429">
        <v>0</v>
      </c>
    </row>
    <row r="430" spans="1:27" x14ac:dyDescent="0.4">
      <c r="A430">
        <v>536</v>
      </c>
      <c r="B430">
        <v>0</v>
      </c>
      <c r="C430" t="s">
        <v>512</v>
      </c>
      <c r="D430">
        <v>4</v>
      </c>
      <c r="E430">
        <v>25</v>
      </c>
      <c r="F430">
        <v>19</v>
      </c>
      <c r="G430">
        <v>13</v>
      </c>
      <c r="H430">
        <v>0</v>
      </c>
      <c r="I430">
        <v>15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5</v>
      </c>
      <c r="R430">
        <v>0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Z430">
        <v>0</v>
      </c>
      <c r="AA430">
        <v>0</v>
      </c>
    </row>
    <row r="431" spans="1:27" x14ac:dyDescent="0.4">
      <c r="A431">
        <v>537</v>
      </c>
      <c r="B431">
        <v>0</v>
      </c>
      <c r="C431" t="s">
        <v>513</v>
      </c>
      <c r="D431">
        <v>4</v>
      </c>
      <c r="E431">
        <v>6</v>
      </c>
      <c r="F431">
        <v>21</v>
      </c>
      <c r="G431">
        <v>15</v>
      </c>
      <c r="H431">
        <v>0</v>
      </c>
      <c r="I431">
        <v>0</v>
      </c>
      <c r="J431">
        <v>0</v>
      </c>
      <c r="K431">
        <v>2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Z431">
        <v>0</v>
      </c>
      <c r="AA431">
        <v>0</v>
      </c>
    </row>
    <row r="432" spans="1:27" x14ac:dyDescent="0.4">
      <c r="A432">
        <v>538</v>
      </c>
      <c r="B432">
        <v>0</v>
      </c>
      <c r="C432" t="s">
        <v>514</v>
      </c>
      <c r="D432">
        <v>4</v>
      </c>
      <c r="E432">
        <v>6</v>
      </c>
      <c r="F432">
        <v>21</v>
      </c>
      <c r="G432">
        <v>15</v>
      </c>
      <c r="H432">
        <v>0</v>
      </c>
      <c r="I432">
        <v>0</v>
      </c>
      <c r="J432">
        <v>0</v>
      </c>
      <c r="K432">
        <v>4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Z432">
        <v>0</v>
      </c>
      <c r="AA432">
        <v>0</v>
      </c>
    </row>
    <row r="433" spans="1:27" x14ac:dyDescent="0.4">
      <c r="A433">
        <v>539</v>
      </c>
      <c r="B433">
        <v>0</v>
      </c>
      <c r="C433" t="s">
        <v>515</v>
      </c>
      <c r="D433">
        <v>4</v>
      </c>
      <c r="E433">
        <v>6</v>
      </c>
      <c r="F433">
        <v>21</v>
      </c>
      <c r="G433">
        <v>15</v>
      </c>
      <c r="H433">
        <v>0</v>
      </c>
      <c r="I433">
        <v>0</v>
      </c>
      <c r="J433">
        <v>0</v>
      </c>
      <c r="K433">
        <v>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0</v>
      </c>
      <c r="V433">
        <v>0</v>
      </c>
      <c r="W433">
        <v>0</v>
      </c>
      <c r="X433">
        <v>0</v>
      </c>
      <c r="Z433">
        <v>0</v>
      </c>
      <c r="AA433">
        <v>0</v>
      </c>
    </row>
    <row r="434" spans="1:27" x14ac:dyDescent="0.4">
      <c r="A434">
        <v>540</v>
      </c>
      <c r="B434">
        <v>0</v>
      </c>
      <c r="C434" t="s">
        <v>516</v>
      </c>
      <c r="D434">
        <v>4</v>
      </c>
      <c r="E434">
        <v>6</v>
      </c>
      <c r="F434">
        <v>21</v>
      </c>
      <c r="G434">
        <v>15</v>
      </c>
      <c r="H434">
        <v>0</v>
      </c>
      <c r="I434">
        <v>0</v>
      </c>
      <c r="J434">
        <v>0</v>
      </c>
      <c r="K434">
        <v>12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2</v>
      </c>
      <c r="U434">
        <v>0</v>
      </c>
      <c r="V434">
        <v>0</v>
      </c>
      <c r="W434">
        <v>0</v>
      </c>
      <c r="X434">
        <v>0</v>
      </c>
      <c r="Z434">
        <v>0</v>
      </c>
      <c r="AA434">
        <v>0</v>
      </c>
    </row>
    <row r="435" spans="1:27" x14ac:dyDescent="0.4">
      <c r="A435">
        <v>541</v>
      </c>
      <c r="B435">
        <v>0</v>
      </c>
      <c r="C435" t="s">
        <v>517</v>
      </c>
      <c r="D435">
        <v>2</v>
      </c>
      <c r="E435">
        <v>3</v>
      </c>
      <c r="F435">
        <v>22</v>
      </c>
      <c r="G435">
        <v>5</v>
      </c>
      <c r="H435">
        <v>0</v>
      </c>
      <c r="I435">
        <v>0</v>
      </c>
      <c r="J435">
        <v>18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5</v>
      </c>
      <c r="R435">
        <v>0</v>
      </c>
      <c r="S435">
        <v>1</v>
      </c>
      <c r="T435">
        <v>4</v>
      </c>
      <c r="U435">
        <v>0</v>
      </c>
      <c r="V435">
        <v>0</v>
      </c>
      <c r="W435">
        <v>0</v>
      </c>
      <c r="X435">
        <v>0</v>
      </c>
      <c r="Z435">
        <v>0</v>
      </c>
      <c r="AA435">
        <v>0</v>
      </c>
    </row>
    <row r="436" spans="1:27" x14ac:dyDescent="0.4">
      <c r="A436">
        <v>542</v>
      </c>
      <c r="B436">
        <v>0</v>
      </c>
      <c r="C436" t="s">
        <v>518</v>
      </c>
      <c r="D436">
        <v>7</v>
      </c>
      <c r="E436">
        <v>9</v>
      </c>
      <c r="F436">
        <v>15</v>
      </c>
      <c r="G436">
        <v>17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7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2</v>
      </c>
      <c r="U436">
        <v>0</v>
      </c>
      <c r="V436">
        <v>0</v>
      </c>
      <c r="W436">
        <v>0</v>
      </c>
      <c r="X436">
        <v>0</v>
      </c>
      <c r="Z436">
        <v>0</v>
      </c>
      <c r="AA436">
        <v>0</v>
      </c>
    </row>
    <row r="437" spans="1:27" x14ac:dyDescent="0.4">
      <c r="A437">
        <v>543</v>
      </c>
      <c r="B437">
        <v>0</v>
      </c>
      <c r="C437" t="s">
        <v>519</v>
      </c>
      <c r="D437">
        <v>7</v>
      </c>
      <c r="E437">
        <v>10</v>
      </c>
      <c r="F437">
        <v>14</v>
      </c>
      <c r="G437">
        <v>18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9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2</v>
      </c>
      <c r="U437">
        <v>0</v>
      </c>
      <c r="V437">
        <v>0</v>
      </c>
      <c r="W437">
        <v>0</v>
      </c>
      <c r="X437">
        <v>0</v>
      </c>
      <c r="Z437">
        <v>0</v>
      </c>
      <c r="AA437">
        <v>0</v>
      </c>
    </row>
    <row r="438" spans="1:27" x14ac:dyDescent="0.4">
      <c r="A438">
        <v>544</v>
      </c>
      <c r="B438">
        <v>0</v>
      </c>
      <c r="C438" t="s">
        <v>520</v>
      </c>
      <c r="D438">
        <v>7</v>
      </c>
      <c r="E438">
        <v>9</v>
      </c>
      <c r="F438">
        <v>15</v>
      </c>
      <c r="G438">
        <v>17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13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3</v>
      </c>
      <c r="U438">
        <v>0</v>
      </c>
      <c r="V438">
        <v>0</v>
      </c>
      <c r="W438">
        <v>0</v>
      </c>
      <c r="X438">
        <v>0</v>
      </c>
      <c r="Z438">
        <v>0</v>
      </c>
      <c r="AA438">
        <v>0</v>
      </c>
    </row>
    <row r="439" spans="1:27" x14ac:dyDescent="0.4">
      <c r="A439">
        <v>545</v>
      </c>
      <c r="B439">
        <v>0</v>
      </c>
      <c r="C439" t="s">
        <v>521</v>
      </c>
      <c r="D439">
        <v>7</v>
      </c>
      <c r="E439">
        <v>10</v>
      </c>
      <c r="F439">
        <v>14</v>
      </c>
      <c r="G439">
        <v>18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16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3</v>
      </c>
      <c r="U439">
        <v>0</v>
      </c>
      <c r="V439">
        <v>0</v>
      </c>
      <c r="W439">
        <v>0</v>
      </c>
      <c r="X439">
        <v>0</v>
      </c>
      <c r="Z439">
        <v>0</v>
      </c>
      <c r="AA439">
        <v>0</v>
      </c>
    </row>
    <row r="440" spans="1:27" x14ac:dyDescent="0.4">
      <c r="A440">
        <v>546</v>
      </c>
      <c r="B440">
        <v>0</v>
      </c>
      <c r="C440" t="s">
        <v>522</v>
      </c>
      <c r="D440">
        <v>3</v>
      </c>
      <c r="E440">
        <v>5</v>
      </c>
      <c r="F440">
        <v>7</v>
      </c>
      <c r="G440">
        <v>7</v>
      </c>
      <c r="H440">
        <v>0</v>
      </c>
      <c r="I440">
        <v>0</v>
      </c>
      <c r="J440">
        <v>0</v>
      </c>
      <c r="K440">
        <v>8</v>
      </c>
      <c r="L440">
        <v>0</v>
      </c>
      <c r="M440">
        <v>7</v>
      </c>
      <c r="N440">
        <v>0</v>
      </c>
      <c r="O440">
        <v>0</v>
      </c>
      <c r="P440">
        <v>0</v>
      </c>
      <c r="Q440">
        <v>0</v>
      </c>
      <c r="R440">
        <v>10</v>
      </c>
      <c r="S440">
        <v>0</v>
      </c>
      <c r="T440">
        <v>3</v>
      </c>
      <c r="U440">
        <v>0</v>
      </c>
      <c r="V440">
        <v>0</v>
      </c>
      <c r="W440">
        <v>0</v>
      </c>
      <c r="X440">
        <v>0</v>
      </c>
      <c r="Z440">
        <v>0</v>
      </c>
      <c r="AA440">
        <v>0</v>
      </c>
    </row>
    <row r="441" spans="1:27" x14ac:dyDescent="0.4">
      <c r="A441">
        <v>547</v>
      </c>
      <c r="B441">
        <v>0</v>
      </c>
      <c r="C441" t="s">
        <v>523</v>
      </c>
      <c r="D441">
        <v>3</v>
      </c>
      <c r="E441">
        <v>5</v>
      </c>
      <c r="F441">
        <v>6</v>
      </c>
      <c r="G441">
        <v>6</v>
      </c>
      <c r="H441">
        <v>0</v>
      </c>
      <c r="I441">
        <v>0</v>
      </c>
      <c r="J441">
        <v>0</v>
      </c>
      <c r="K441">
        <v>10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3</v>
      </c>
      <c r="U441">
        <v>0</v>
      </c>
      <c r="V441">
        <v>0</v>
      </c>
      <c r="W441">
        <v>0</v>
      </c>
      <c r="X441">
        <v>0</v>
      </c>
      <c r="Z441">
        <v>0</v>
      </c>
      <c r="AA441">
        <v>0</v>
      </c>
    </row>
    <row r="442" spans="1:27" x14ac:dyDescent="0.4">
      <c r="A442">
        <v>548</v>
      </c>
      <c r="B442">
        <v>0</v>
      </c>
      <c r="C442" t="s">
        <v>524</v>
      </c>
      <c r="D442">
        <v>3</v>
      </c>
      <c r="E442">
        <v>5</v>
      </c>
      <c r="F442">
        <v>7</v>
      </c>
      <c r="G442">
        <v>7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4</v>
      </c>
      <c r="N442">
        <v>0</v>
      </c>
      <c r="O442">
        <v>3</v>
      </c>
      <c r="P442">
        <v>0</v>
      </c>
      <c r="Q442">
        <v>3</v>
      </c>
      <c r="R442">
        <v>11</v>
      </c>
      <c r="S442">
        <v>0</v>
      </c>
      <c r="T442">
        <v>3</v>
      </c>
      <c r="U442">
        <v>0</v>
      </c>
      <c r="V442">
        <v>0</v>
      </c>
      <c r="W442">
        <v>0</v>
      </c>
      <c r="X442">
        <v>0</v>
      </c>
      <c r="Z442">
        <v>0</v>
      </c>
      <c r="AA442">
        <v>0</v>
      </c>
    </row>
    <row r="443" spans="1:27" x14ac:dyDescent="0.4">
      <c r="A443">
        <v>549</v>
      </c>
      <c r="B443">
        <v>0</v>
      </c>
      <c r="C443" t="s">
        <v>525</v>
      </c>
      <c r="D443">
        <v>3</v>
      </c>
      <c r="E443">
        <v>5</v>
      </c>
      <c r="F443">
        <v>8</v>
      </c>
      <c r="G443">
        <v>8</v>
      </c>
      <c r="H443">
        <v>0</v>
      </c>
      <c r="I443">
        <v>0</v>
      </c>
      <c r="J443">
        <v>13</v>
      </c>
      <c r="K443">
        <v>4</v>
      </c>
      <c r="L443">
        <v>0</v>
      </c>
      <c r="M443">
        <v>5</v>
      </c>
      <c r="N443">
        <v>0</v>
      </c>
      <c r="O443">
        <v>5</v>
      </c>
      <c r="P443">
        <v>0</v>
      </c>
      <c r="Q443">
        <v>2</v>
      </c>
      <c r="R443">
        <v>0</v>
      </c>
      <c r="S443">
        <v>0</v>
      </c>
      <c r="T443">
        <v>3</v>
      </c>
      <c r="U443">
        <v>0</v>
      </c>
      <c r="V443">
        <v>0</v>
      </c>
      <c r="W443">
        <v>0</v>
      </c>
      <c r="X443">
        <v>0</v>
      </c>
      <c r="Z443">
        <v>0</v>
      </c>
      <c r="AA443">
        <v>0</v>
      </c>
    </row>
    <row r="444" spans="1:27" x14ac:dyDescent="0.4">
      <c r="A444">
        <v>550</v>
      </c>
      <c r="B444">
        <v>0</v>
      </c>
      <c r="C444" t="s">
        <v>526</v>
      </c>
      <c r="D444">
        <v>1</v>
      </c>
      <c r="E444">
        <v>1</v>
      </c>
      <c r="F444">
        <v>1</v>
      </c>
      <c r="G444">
        <v>16</v>
      </c>
      <c r="H444">
        <v>0</v>
      </c>
      <c r="I444">
        <v>2</v>
      </c>
      <c r="J444">
        <v>0</v>
      </c>
      <c r="K444">
        <v>9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3</v>
      </c>
      <c r="R444">
        <v>0</v>
      </c>
      <c r="S444">
        <v>2</v>
      </c>
      <c r="T444">
        <v>3</v>
      </c>
      <c r="U444">
        <v>0</v>
      </c>
      <c r="V444">
        <v>0</v>
      </c>
      <c r="W444">
        <v>0</v>
      </c>
      <c r="X444">
        <v>0</v>
      </c>
      <c r="Z444">
        <v>0</v>
      </c>
      <c r="AA444">
        <v>0</v>
      </c>
    </row>
    <row r="445" spans="1:27" x14ac:dyDescent="0.4">
      <c r="A445">
        <v>551</v>
      </c>
      <c r="B445">
        <v>0</v>
      </c>
      <c r="C445" t="s">
        <v>527</v>
      </c>
      <c r="D445">
        <v>1</v>
      </c>
      <c r="E445">
        <v>1</v>
      </c>
      <c r="F445">
        <v>3</v>
      </c>
      <c r="G445">
        <v>3</v>
      </c>
      <c r="H445">
        <v>0</v>
      </c>
      <c r="I445">
        <v>27</v>
      </c>
      <c r="J445">
        <v>0</v>
      </c>
      <c r="K445">
        <v>4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3</v>
      </c>
      <c r="R445">
        <v>0</v>
      </c>
      <c r="S445">
        <v>3</v>
      </c>
      <c r="T445">
        <v>4</v>
      </c>
      <c r="U445">
        <v>0</v>
      </c>
      <c r="V445">
        <v>0</v>
      </c>
      <c r="W445">
        <v>0</v>
      </c>
      <c r="X445">
        <v>0</v>
      </c>
      <c r="Z445">
        <v>0</v>
      </c>
      <c r="AA445">
        <v>0</v>
      </c>
    </row>
    <row r="446" spans="1:27" x14ac:dyDescent="0.4">
      <c r="A446">
        <v>552</v>
      </c>
      <c r="B446">
        <v>0</v>
      </c>
      <c r="C446" t="s">
        <v>528</v>
      </c>
      <c r="D446">
        <v>1</v>
      </c>
      <c r="E446">
        <v>1</v>
      </c>
      <c r="F446">
        <v>3</v>
      </c>
      <c r="G446">
        <v>3</v>
      </c>
      <c r="H446">
        <v>0</v>
      </c>
      <c r="I446">
        <v>13</v>
      </c>
      <c r="J446">
        <v>0</v>
      </c>
      <c r="K446">
        <v>0</v>
      </c>
      <c r="L446">
        <v>3</v>
      </c>
      <c r="M446">
        <v>0</v>
      </c>
      <c r="N446">
        <v>0</v>
      </c>
      <c r="O446">
        <v>0</v>
      </c>
      <c r="P446">
        <v>0</v>
      </c>
      <c r="Q446">
        <v>4</v>
      </c>
      <c r="R446">
        <v>0</v>
      </c>
      <c r="S446">
        <v>3</v>
      </c>
      <c r="T446">
        <v>2</v>
      </c>
      <c r="U446">
        <v>0</v>
      </c>
      <c r="V446">
        <v>0</v>
      </c>
      <c r="W446">
        <v>0</v>
      </c>
      <c r="X446">
        <v>0</v>
      </c>
      <c r="Z446">
        <v>0</v>
      </c>
      <c r="AA446">
        <v>0</v>
      </c>
    </row>
    <row r="447" spans="1:27" x14ac:dyDescent="0.4">
      <c r="A447">
        <v>553</v>
      </c>
      <c r="B447">
        <v>0</v>
      </c>
      <c r="C447" t="s">
        <v>529</v>
      </c>
      <c r="D447">
        <v>1</v>
      </c>
      <c r="E447">
        <v>1</v>
      </c>
      <c r="F447">
        <v>1</v>
      </c>
      <c r="G447">
        <v>16</v>
      </c>
      <c r="H447">
        <v>0</v>
      </c>
      <c r="I447">
        <v>5</v>
      </c>
      <c r="J447">
        <v>0</v>
      </c>
      <c r="K447">
        <v>15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5</v>
      </c>
      <c r="R447">
        <v>0</v>
      </c>
      <c r="S447">
        <v>2</v>
      </c>
      <c r="T447">
        <v>4</v>
      </c>
      <c r="U447">
        <v>0</v>
      </c>
      <c r="V447">
        <v>0</v>
      </c>
      <c r="W447">
        <v>0</v>
      </c>
      <c r="X447">
        <v>0</v>
      </c>
      <c r="Z447">
        <v>0</v>
      </c>
      <c r="AA447">
        <v>0</v>
      </c>
    </row>
    <row r="448" spans="1:27" x14ac:dyDescent="0.4">
      <c r="A448">
        <v>554</v>
      </c>
      <c r="B448">
        <v>0</v>
      </c>
      <c r="C448" t="s">
        <v>530</v>
      </c>
      <c r="D448">
        <v>5</v>
      </c>
      <c r="E448">
        <v>7</v>
      </c>
      <c r="F448">
        <v>11</v>
      </c>
      <c r="G448">
        <v>10</v>
      </c>
      <c r="H448">
        <v>0</v>
      </c>
      <c r="I448">
        <v>0</v>
      </c>
      <c r="J448">
        <v>0</v>
      </c>
      <c r="K448">
        <v>4</v>
      </c>
      <c r="L448">
        <v>0</v>
      </c>
      <c r="M448">
        <v>8</v>
      </c>
      <c r="N448">
        <v>0</v>
      </c>
      <c r="O448">
        <v>6</v>
      </c>
      <c r="P448">
        <v>0</v>
      </c>
      <c r="Q448">
        <v>1</v>
      </c>
      <c r="R448">
        <v>8</v>
      </c>
      <c r="S448">
        <v>0</v>
      </c>
      <c r="T448">
        <v>2</v>
      </c>
      <c r="U448">
        <v>0</v>
      </c>
      <c r="V448">
        <v>0</v>
      </c>
      <c r="W448">
        <v>0</v>
      </c>
      <c r="X448">
        <v>0</v>
      </c>
      <c r="Z448">
        <v>0</v>
      </c>
      <c r="AA448">
        <v>0</v>
      </c>
    </row>
    <row r="449" spans="1:27" x14ac:dyDescent="0.4">
      <c r="A449">
        <v>555</v>
      </c>
      <c r="B449">
        <v>0</v>
      </c>
      <c r="C449" t="s">
        <v>531</v>
      </c>
      <c r="D449">
        <v>5</v>
      </c>
      <c r="E449">
        <v>7</v>
      </c>
      <c r="F449">
        <v>11</v>
      </c>
      <c r="G449">
        <v>10</v>
      </c>
      <c r="H449">
        <v>0</v>
      </c>
      <c r="I449">
        <v>0</v>
      </c>
      <c r="J449">
        <v>0</v>
      </c>
      <c r="K449">
        <v>9</v>
      </c>
      <c r="L449">
        <v>0</v>
      </c>
      <c r="M449">
        <v>10</v>
      </c>
      <c r="N449">
        <v>0</v>
      </c>
      <c r="O449">
        <v>7</v>
      </c>
      <c r="P449">
        <v>0</v>
      </c>
      <c r="Q449">
        <v>3</v>
      </c>
      <c r="R449">
        <v>13</v>
      </c>
      <c r="S449">
        <v>0</v>
      </c>
      <c r="T449">
        <v>4</v>
      </c>
      <c r="U449">
        <v>0</v>
      </c>
      <c r="V449">
        <v>0</v>
      </c>
      <c r="W449">
        <v>0</v>
      </c>
      <c r="X449">
        <v>0</v>
      </c>
      <c r="Z449">
        <v>0</v>
      </c>
      <c r="AA449">
        <v>0</v>
      </c>
    </row>
    <row r="450" spans="1:27" x14ac:dyDescent="0.4">
      <c r="A450">
        <v>556</v>
      </c>
      <c r="B450">
        <v>0</v>
      </c>
      <c r="C450" t="s">
        <v>532</v>
      </c>
      <c r="D450">
        <v>3</v>
      </c>
      <c r="E450">
        <v>5</v>
      </c>
      <c r="F450">
        <v>6</v>
      </c>
      <c r="G450">
        <v>6</v>
      </c>
      <c r="H450">
        <v>0</v>
      </c>
      <c r="I450">
        <v>0</v>
      </c>
      <c r="J450">
        <v>0</v>
      </c>
      <c r="K450">
        <v>12</v>
      </c>
      <c r="L450">
        <v>0</v>
      </c>
      <c r="M450">
        <v>0</v>
      </c>
      <c r="N450">
        <v>2</v>
      </c>
      <c r="O450">
        <v>0</v>
      </c>
      <c r="P450">
        <v>0</v>
      </c>
      <c r="Q450">
        <v>2</v>
      </c>
      <c r="R450">
        <v>0</v>
      </c>
      <c r="S450">
        <v>0</v>
      </c>
      <c r="T450">
        <v>4</v>
      </c>
      <c r="U450">
        <v>0</v>
      </c>
      <c r="V450">
        <v>0</v>
      </c>
      <c r="W450">
        <v>0</v>
      </c>
      <c r="X450">
        <v>0</v>
      </c>
      <c r="Z450">
        <v>0</v>
      </c>
      <c r="AA450">
        <v>0</v>
      </c>
    </row>
    <row r="451" spans="1:27" x14ac:dyDescent="0.4">
      <c r="A451">
        <v>557</v>
      </c>
      <c r="B451">
        <v>0</v>
      </c>
      <c r="C451" t="s">
        <v>533</v>
      </c>
      <c r="D451">
        <v>3</v>
      </c>
      <c r="E451">
        <v>5</v>
      </c>
      <c r="F451">
        <v>7</v>
      </c>
      <c r="G451">
        <v>7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8</v>
      </c>
      <c r="N451">
        <v>0</v>
      </c>
      <c r="O451">
        <v>5</v>
      </c>
      <c r="P451">
        <v>0</v>
      </c>
      <c r="Q451">
        <v>4</v>
      </c>
      <c r="R451">
        <v>15</v>
      </c>
      <c r="S451">
        <v>0</v>
      </c>
      <c r="T451">
        <v>4</v>
      </c>
      <c r="U451">
        <v>0</v>
      </c>
      <c r="V451">
        <v>0</v>
      </c>
      <c r="W451">
        <v>0</v>
      </c>
      <c r="X451">
        <v>0</v>
      </c>
      <c r="Z451">
        <v>0</v>
      </c>
      <c r="AA451">
        <v>0</v>
      </c>
    </row>
    <row r="452" spans="1:27" x14ac:dyDescent="0.4">
      <c r="A452">
        <v>558</v>
      </c>
      <c r="B452">
        <v>0</v>
      </c>
      <c r="C452" t="s">
        <v>534</v>
      </c>
      <c r="D452">
        <v>3</v>
      </c>
      <c r="E452">
        <v>5</v>
      </c>
      <c r="F452">
        <v>8</v>
      </c>
      <c r="G452">
        <v>8</v>
      </c>
      <c r="H452">
        <v>0</v>
      </c>
      <c r="I452">
        <v>0</v>
      </c>
      <c r="J452">
        <v>16</v>
      </c>
      <c r="K452">
        <v>5</v>
      </c>
      <c r="L452">
        <v>0</v>
      </c>
      <c r="M452">
        <v>9</v>
      </c>
      <c r="N452">
        <v>0</v>
      </c>
      <c r="O452">
        <v>6</v>
      </c>
      <c r="P452">
        <v>0</v>
      </c>
      <c r="Q452">
        <v>3</v>
      </c>
      <c r="R452">
        <v>0</v>
      </c>
      <c r="S452">
        <v>0</v>
      </c>
      <c r="T452">
        <v>4</v>
      </c>
      <c r="U452">
        <v>0</v>
      </c>
      <c r="V452">
        <v>0</v>
      </c>
      <c r="W452">
        <v>0</v>
      </c>
      <c r="X452">
        <v>0</v>
      </c>
      <c r="Z452">
        <v>0</v>
      </c>
      <c r="AA452">
        <v>0</v>
      </c>
    </row>
    <row r="453" spans="1:27" x14ac:dyDescent="0.4">
      <c r="A453">
        <v>559</v>
      </c>
      <c r="B453">
        <v>0</v>
      </c>
      <c r="C453" t="s">
        <v>535</v>
      </c>
      <c r="D453">
        <v>7</v>
      </c>
      <c r="E453">
        <v>10</v>
      </c>
      <c r="F453">
        <v>14</v>
      </c>
      <c r="G453">
        <v>18</v>
      </c>
      <c r="H453">
        <v>0</v>
      </c>
      <c r="I453">
        <v>0</v>
      </c>
      <c r="J453">
        <v>0</v>
      </c>
      <c r="K453">
        <v>6</v>
      </c>
      <c r="L453">
        <v>0</v>
      </c>
      <c r="M453">
        <v>20</v>
      </c>
      <c r="N453">
        <v>3</v>
      </c>
      <c r="O453">
        <v>3</v>
      </c>
      <c r="P453">
        <v>0</v>
      </c>
      <c r="Q453">
        <v>5</v>
      </c>
      <c r="R453">
        <v>0</v>
      </c>
      <c r="S453">
        <v>0</v>
      </c>
      <c r="T453">
        <v>3</v>
      </c>
      <c r="U453">
        <v>0</v>
      </c>
      <c r="V453">
        <v>0</v>
      </c>
      <c r="W453">
        <v>0</v>
      </c>
      <c r="X453">
        <v>0</v>
      </c>
      <c r="Z453">
        <v>0</v>
      </c>
      <c r="AA453">
        <v>0</v>
      </c>
    </row>
    <row r="454" spans="1:27" x14ac:dyDescent="0.4">
      <c r="A454">
        <v>560</v>
      </c>
      <c r="B454">
        <v>0</v>
      </c>
      <c r="C454" t="s">
        <v>536</v>
      </c>
      <c r="D454">
        <v>8</v>
      </c>
      <c r="E454">
        <v>18</v>
      </c>
      <c r="F454">
        <v>29</v>
      </c>
      <c r="G454">
        <v>24</v>
      </c>
      <c r="H454">
        <v>0</v>
      </c>
      <c r="I454">
        <v>2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2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Z454">
        <v>0</v>
      </c>
      <c r="AA454">
        <v>0</v>
      </c>
    </row>
    <row r="455" spans="1:27" x14ac:dyDescent="0.4">
      <c r="A455">
        <v>561</v>
      </c>
      <c r="B455">
        <v>0</v>
      </c>
      <c r="C455" t="s">
        <v>537</v>
      </c>
      <c r="D455">
        <v>3</v>
      </c>
      <c r="E455">
        <v>5</v>
      </c>
      <c r="F455">
        <v>7</v>
      </c>
      <c r="G455">
        <v>7</v>
      </c>
      <c r="H455">
        <v>0</v>
      </c>
      <c r="I455">
        <v>0</v>
      </c>
      <c r="J455">
        <v>0</v>
      </c>
      <c r="K455">
        <v>3</v>
      </c>
      <c r="L455">
        <v>0</v>
      </c>
      <c r="M455">
        <v>5</v>
      </c>
      <c r="N455">
        <v>0</v>
      </c>
      <c r="O455">
        <v>3</v>
      </c>
      <c r="P455">
        <v>0</v>
      </c>
      <c r="Q455">
        <v>1</v>
      </c>
      <c r="R455">
        <v>11</v>
      </c>
      <c r="S455">
        <v>0</v>
      </c>
      <c r="T455">
        <v>2</v>
      </c>
      <c r="U455">
        <v>0</v>
      </c>
      <c r="V455">
        <v>0</v>
      </c>
      <c r="W455">
        <v>0</v>
      </c>
      <c r="X455">
        <v>0</v>
      </c>
      <c r="Z455">
        <v>0</v>
      </c>
      <c r="AA455">
        <v>0</v>
      </c>
    </row>
    <row r="456" spans="1:27" x14ac:dyDescent="0.4">
      <c r="A456">
        <v>562</v>
      </c>
      <c r="B456">
        <v>0</v>
      </c>
      <c r="C456" t="s">
        <v>538</v>
      </c>
      <c r="D456">
        <v>3</v>
      </c>
      <c r="E456">
        <v>5</v>
      </c>
      <c r="F456">
        <v>7</v>
      </c>
      <c r="G456">
        <v>7</v>
      </c>
      <c r="H456">
        <v>0</v>
      </c>
      <c r="I456">
        <v>0</v>
      </c>
      <c r="J456">
        <v>0</v>
      </c>
      <c r="K456">
        <v>5</v>
      </c>
      <c r="L456">
        <v>0</v>
      </c>
      <c r="M456">
        <v>7</v>
      </c>
      <c r="N456">
        <v>0</v>
      </c>
      <c r="O456">
        <v>4</v>
      </c>
      <c r="P456">
        <v>0</v>
      </c>
      <c r="Q456">
        <v>2</v>
      </c>
      <c r="R456">
        <v>16</v>
      </c>
      <c r="S456">
        <v>0</v>
      </c>
      <c r="T456">
        <v>3</v>
      </c>
      <c r="U456">
        <v>0</v>
      </c>
      <c r="V456">
        <v>0</v>
      </c>
      <c r="W456">
        <v>0</v>
      </c>
      <c r="X456">
        <v>0</v>
      </c>
      <c r="Z456">
        <v>0</v>
      </c>
      <c r="AA456">
        <v>0</v>
      </c>
    </row>
    <row r="457" spans="1:27" x14ac:dyDescent="0.4">
      <c r="A457">
        <v>563</v>
      </c>
      <c r="B457">
        <v>0</v>
      </c>
      <c r="C457" t="s">
        <v>539</v>
      </c>
      <c r="D457">
        <v>1</v>
      </c>
      <c r="E457">
        <v>1</v>
      </c>
      <c r="F457">
        <v>2</v>
      </c>
      <c r="G457">
        <v>2</v>
      </c>
      <c r="H457">
        <v>0</v>
      </c>
      <c r="I457">
        <v>8</v>
      </c>
      <c r="J457">
        <v>0</v>
      </c>
      <c r="K457">
        <v>1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-1</v>
      </c>
      <c r="R457">
        <v>0</v>
      </c>
      <c r="S457">
        <v>3</v>
      </c>
      <c r="T457">
        <v>4</v>
      </c>
      <c r="U457">
        <v>0</v>
      </c>
      <c r="V457">
        <v>0</v>
      </c>
      <c r="W457">
        <v>0</v>
      </c>
      <c r="X457">
        <v>0</v>
      </c>
      <c r="Z457">
        <v>0</v>
      </c>
      <c r="AA457">
        <v>0</v>
      </c>
    </row>
    <row r="458" spans="1:27" x14ac:dyDescent="0.4">
      <c r="A458">
        <v>564</v>
      </c>
      <c r="B458">
        <v>0</v>
      </c>
      <c r="C458" t="s">
        <v>540</v>
      </c>
      <c r="D458">
        <v>5</v>
      </c>
      <c r="E458">
        <v>7</v>
      </c>
      <c r="F458">
        <v>10</v>
      </c>
      <c r="G458">
        <v>10</v>
      </c>
      <c r="H458">
        <v>0</v>
      </c>
      <c r="I458">
        <v>0</v>
      </c>
      <c r="J458">
        <v>0</v>
      </c>
      <c r="K458">
        <v>2</v>
      </c>
      <c r="L458">
        <v>0</v>
      </c>
      <c r="M458">
        <v>2</v>
      </c>
      <c r="N458">
        <v>0</v>
      </c>
      <c r="O458">
        <v>5</v>
      </c>
      <c r="P458">
        <v>0</v>
      </c>
      <c r="Q458">
        <v>5</v>
      </c>
      <c r="R458">
        <v>0</v>
      </c>
      <c r="S458">
        <v>0</v>
      </c>
      <c r="T458">
        <v>3</v>
      </c>
      <c r="U458">
        <v>0</v>
      </c>
      <c r="V458">
        <v>0</v>
      </c>
      <c r="W458">
        <v>0</v>
      </c>
      <c r="X458">
        <v>0</v>
      </c>
      <c r="Z458">
        <v>0</v>
      </c>
      <c r="AA458">
        <v>0</v>
      </c>
    </row>
    <row r="459" spans="1:27" x14ac:dyDescent="0.4">
      <c r="A459">
        <v>565</v>
      </c>
      <c r="B459">
        <v>0</v>
      </c>
      <c r="C459" t="s">
        <v>541</v>
      </c>
      <c r="D459">
        <v>1</v>
      </c>
      <c r="E459">
        <v>1</v>
      </c>
      <c r="F459">
        <v>1</v>
      </c>
      <c r="G459">
        <v>1</v>
      </c>
      <c r="H459">
        <v>0</v>
      </c>
      <c r="I459">
        <v>3</v>
      </c>
      <c r="J459">
        <v>0</v>
      </c>
      <c r="K459">
        <v>0</v>
      </c>
      <c r="L459">
        <v>2</v>
      </c>
      <c r="M459">
        <v>0</v>
      </c>
      <c r="N459">
        <v>0</v>
      </c>
      <c r="O459">
        <v>0</v>
      </c>
      <c r="P459">
        <v>0</v>
      </c>
      <c r="Q459">
        <v>3</v>
      </c>
      <c r="R459">
        <v>0</v>
      </c>
      <c r="S459">
        <v>2</v>
      </c>
      <c r="T459">
        <v>2</v>
      </c>
      <c r="U459">
        <v>0</v>
      </c>
      <c r="V459">
        <v>0</v>
      </c>
      <c r="W459">
        <v>0</v>
      </c>
      <c r="X459">
        <v>0</v>
      </c>
      <c r="Z459">
        <v>0</v>
      </c>
      <c r="AA459">
        <v>0</v>
      </c>
    </row>
    <row r="460" spans="1:27" x14ac:dyDescent="0.4">
      <c r="A460">
        <v>566</v>
      </c>
      <c r="B460">
        <v>0</v>
      </c>
      <c r="C460" t="s">
        <v>542</v>
      </c>
      <c r="D460">
        <v>3</v>
      </c>
      <c r="E460">
        <v>5</v>
      </c>
      <c r="F460">
        <v>7</v>
      </c>
      <c r="G460">
        <v>7</v>
      </c>
      <c r="H460">
        <v>0</v>
      </c>
      <c r="I460">
        <v>0</v>
      </c>
      <c r="J460">
        <v>0</v>
      </c>
      <c r="K460">
        <v>7</v>
      </c>
      <c r="L460">
        <v>0</v>
      </c>
      <c r="M460">
        <v>2</v>
      </c>
      <c r="N460">
        <v>0</v>
      </c>
      <c r="O460">
        <v>0</v>
      </c>
      <c r="P460">
        <v>0</v>
      </c>
      <c r="Q460">
        <v>2</v>
      </c>
      <c r="R460">
        <v>8</v>
      </c>
      <c r="S460">
        <v>0</v>
      </c>
      <c r="T460">
        <v>3</v>
      </c>
      <c r="U460">
        <v>0</v>
      </c>
      <c r="V460">
        <v>0</v>
      </c>
      <c r="W460">
        <v>0</v>
      </c>
      <c r="X460">
        <v>0</v>
      </c>
      <c r="Z460">
        <v>0</v>
      </c>
      <c r="AA460">
        <v>0</v>
      </c>
    </row>
    <row r="461" spans="1:27" x14ac:dyDescent="0.4">
      <c r="A461">
        <v>567</v>
      </c>
      <c r="B461">
        <v>0</v>
      </c>
      <c r="C461" t="s">
        <v>543</v>
      </c>
      <c r="D461">
        <v>5</v>
      </c>
      <c r="E461">
        <v>8</v>
      </c>
      <c r="F461">
        <v>13</v>
      </c>
      <c r="G461">
        <v>11</v>
      </c>
      <c r="H461">
        <v>0</v>
      </c>
      <c r="I461">
        <v>0</v>
      </c>
      <c r="J461">
        <v>0</v>
      </c>
      <c r="K461">
        <v>4</v>
      </c>
      <c r="L461">
        <v>0</v>
      </c>
      <c r="M461">
        <v>0</v>
      </c>
      <c r="N461">
        <v>0</v>
      </c>
      <c r="O461">
        <v>8</v>
      </c>
      <c r="P461">
        <v>0</v>
      </c>
      <c r="Q461">
        <v>16</v>
      </c>
      <c r="R461">
        <v>0</v>
      </c>
      <c r="S461">
        <v>0</v>
      </c>
      <c r="T461">
        <v>3</v>
      </c>
      <c r="U461">
        <v>0</v>
      </c>
      <c r="V461">
        <v>0</v>
      </c>
      <c r="W461">
        <v>0</v>
      </c>
      <c r="X461">
        <v>0</v>
      </c>
      <c r="Z461">
        <v>0</v>
      </c>
      <c r="AA461">
        <v>0</v>
      </c>
    </row>
    <row r="462" spans="1:27" x14ac:dyDescent="0.4">
      <c r="A462">
        <v>568</v>
      </c>
      <c r="B462">
        <v>0</v>
      </c>
      <c r="C462" t="s">
        <v>486</v>
      </c>
      <c r="D462">
        <v>1</v>
      </c>
      <c r="E462">
        <v>1</v>
      </c>
      <c r="F462">
        <v>3</v>
      </c>
      <c r="G462">
        <v>3</v>
      </c>
      <c r="H462">
        <v>0</v>
      </c>
      <c r="I462">
        <v>24</v>
      </c>
      <c r="J462">
        <v>0</v>
      </c>
      <c r="K462">
        <v>3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4</v>
      </c>
      <c r="R462">
        <v>0</v>
      </c>
      <c r="S462">
        <v>3</v>
      </c>
      <c r="T462">
        <v>5</v>
      </c>
      <c r="U462">
        <v>0</v>
      </c>
      <c r="V462">
        <v>0</v>
      </c>
      <c r="W462">
        <v>0</v>
      </c>
      <c r="X462">
        <v>0</v>
      </c>
      <c r="Z462">
        <v>0</v>
      </c>
      <c r="AA462">
        <v>0</v>
      </c>
    </row>
    <row r="463" spans="1:27" x14ac:dyDescent="0.4">
      <c r="A463">
        <v>569</v>
      </c>
      <c r="B463">
        <v>0</v>
      </c>
      <c r="C463" t="s">
        <v>544</v>
      </c>
      <c r="D463">
        <v>5</v>
      </c>
      <c r="E463">
        <v>7</v>
      </c>
      <c r="F463">
        <v>10</v>
      </c>
      <c r="G463">
        <v>10</v>
      </c>
      <c r="H463">
        <v>0</v>
      </c>
      <c r="I463">
        <v>3</v>
      </c>
      <c r="J463">
        <v>0</v>
      </c>
      <c r="K463">
        <v>1</v>
      </c>
      <c r="L463">
        <v>0</v>
      </c>
      <c r="M463">
        <v>2</v>
      </c>
      <c r="N463">
        <v>0</v>
      </c>
      <c r="O463">
        <v>9</v>
      </c>
      <c r="P463">
        <v>0</v>
      </c>
      <c r="Q463">
        <v>8</v>
      </c>
      <c r="R463">
        <v>0</v>
      </c>
      <c r="S463">
        <v>0</v>
      </c>
      <c r="T463">
        <v>4</v>
      </c>
      <c r="U463">
        <v>0</v>
      </c>
      <c r="V463">
        <v>0</v>
      </c>
      <c r="W463">
        <v>0</v>
      </c>
      <c r="X463">
        <v>0</v>
      </c>
      <c r="Z463">
        <v>0</v>
      </c>
      <c r="AA463">
        <v>0</v>
      </c>
    </row>
    <row r="464" spans="1:27" x14ac:dyDescent="0.4">
      <c r="A464">
        <v>570</v>
      </c>
      <c r="B464">
        <v>0</v>
      </c>
      <c r="C464" t="s">
        <v>545</v>
      </c>
      <c r="D464">
        <v>2</v>
      </c>
      <c r="E464">
        <v>3</v>
      </c>
      <c r="F464">
        <v>22</v>
      </c>
      <c r="G464">
        <v>5</v>
      </c>
      <c r="H464">
        <v>0</v>
      </c>
      <c r="I464">
        <v>0</v>
      </c>
      <c r="J464">
        <v>13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3</v>
      </c>
      <c r="R464">
        <v>0</v>
      </c>
      <c r="S464">
        <v>1</v>
      </c>
      <c r="T464">
        <v>4</v>
      </c>
      <c r="U464">
        <v>0</v>
      </c>
      <c r="V464">
        <v>0</v>
      </c>
      <c r="W464">
        <v>0</v>
      </c>
      <c r="X464">
        <v>0</v>
      </c>
      <c r="Z464">
        <v>0</v>
      </c>
      <c r="AA464">
        <v>0</v>
      </c>
    </row>
    <row r="465" spans="1:27" x14ac:dyDescent="0.4">
      <c r="A465">
        <v>571</v>
      </c>
      <c r="B465">
        <v>0</v>
      </c>
      <c r="C465" t="s">
        <v>546</v>
      </c>
      <c r="D465">
        <v>5</v>
      </c>
      <c r="E465">
        <v>7</v>
      </c>
      <c r="F465">
        <v>11</v>
      </c>
      <c r="G465">
        <v>10</v>
      </c>
      <c r="H465">
        <v>0</v>
      </c>
      <c r="I465">
        <v>4</v>
      </c>
      <c r="J465">
        <v>0</v>
      </c>
      <c r="K465">
        <v>11</v>
      </c>
      <c r="L465">
        <v>4</v>
      </c>
      <c r="M465">
        <v>15</v>
      </c>
      <c r="N465">
        <v>0</v>
      </c>
      <c r="O465">
        <v>8</v>
      </c>
      <c r="P465">
        <v>0</v>
      </c>
      <c r="Q465">
        <v>8</v>
      </c>
      <c r="R465">
        <v>15</v>
      </c>
      <c r="S465">
        <v>4</v>
      </c>
      <c r="T465">
        <v>5</v>
      </c>
      <c r="U465">
        <v>0</v>
      </c>
      <c r="V465">
        <v>0</v>
      </c>
      <c r="W465">
        <v>0</v>
      </c>
      <c r="X465">
        <v>0</v>
      </c>
      <c r="Z465">
        <v>0</v>
      </c>
      <c r="AA465">
        <v>0</v>
      </c>
    </row>
    <row r="466" spans="1:27" x14ac:dyDescent="0.4">
      <c r="A466">
        <v>572</v>
      </c>
      <c r="B466">
        <v>0</v>
      </c>
      <c r="C466" t="s">
        <v>547</v>
      </c>
      <c r="D466">
        <v>3</v>
      </c>
      <c r="E466">
        <v>5</v>
      </c>
      <c r="F466">
        <v>6</v>
      </c>
      <c r="G466">
        <v>6</v>
      </c>
      <c r="H466">
        <v>0</v>
      </c>
      <c r="I466">
        <v>8</v>
      </c>
      <c r="J466">
        <v>0</v>
      </c>
      <c r="K466">
        <v>18</v>
      </c>
      <c r="L466">
        <v>8</v>
      </c>
      <c r="M466">
        <v>0</v>
      </c>
      <c r="N466">
        <v>8</v>
      </c>
      <c r="O466">
        <v>0</v>
      </c>
      <c r="P466">
        <v>0</v>
      </c>
      <c r="Q466">
        <v>8</v>
      </c>
      <c r="R466">
        <v>0</v>
      </c>
      <c r="S466">
        <v>0</v>
      </c>
      <c r="T466">
        <v>5</v>
      </c>
      <c r="U466">
        <v>0</v>
      </c>
      <c r="V466">
        <v>0</v>
      </c>
      <c r="W466">
        <v>0</v>
      </c>
      <c r="X466">
        <v>0</v>
      </c>
      <c r="Z466">
        <v>0</v>
      </c>
      <c r="AA466">
        <v>0</v>
      </c>
    </row>
    <row r="467" spans="1:27" x14ac:dyDescent="0.4">
      <c r="A467">
        <v>573</v>
      </c>
      <c r="B467">
        <v>0</v>
      </c>
      <c r="C467" t="s">
        <v>548</v>
      </c>
      <c r="D467">
        <v>5</v>
      </c>
      <c r="E467">
        <v>7</v>
      </c>
      <c r="F467">
        <v>11</v>
      </c>
      <c r="G467">
        <v>10</v>
      </c>
      <c r="H467">
        <v>0</v>
      </c>
      <c r="I467">
        <v>6</v>
      </c>
      <c r="J467">
        <v>0</v>
      </c>
      <c r="K467">
        <v>6</v>
      </c>
      <c r="L467">
        <v>3</v>
      </c>
      <c r="M467">
        <v>9</v>
      </c>
      <c r="N467">
        <v>6</v>
      </c>
      <c r="O467">
        <v>3</v>
      </c>
      <c r="P467">
        <v>0</v>
      </c>
      <c r="Q467">
        <v>12</v>
      </c>
      <c r="R467">
        <v>18</v>
      </c>
      <c r="S467">
        <v>5</v>
      </c>
      <c r="T467">
        <v>5</v>
      </c>
      <c r="U467">
        <v>0</v>
      </c>
      <c r="V467">
        <v>0</v>
      </c>
      <c r="W467">
        <v>0</v>
      </c>
      <c r="X467">
        <v>0</v>
      </c>
      <c r="Z467">
        <v>0</v>
      </c>
      <c r="AA467">
        <v>0</v>
      </c>
    </row>
    <row r="468" spans="1:27" x14ac:dyDescent="0.4">
      <c r="A468">
        <v>574</v>
      </c>
      <c r="B468">
        <v>0</v>
      </c>
      <c r="C468" t="s">
        <v>550</v>
      </c>
      <c r="D468">
        <v>3</v>
      </c>
      <c r="E468">
        <v>5</v>
      </c>
      <c r="F468">
        <v>8</v>
      </c>
      <c r="G468">
        <v>8</v>
      </c>
      <c r="H468">
        <v>0</v>
      </c>
      <c r="I468">
        <v>3</v>
      </c>
      <c r="J468">
        <v>0</v>
      </c>
      <c r="K468">
        <v>8</v>
      </c>
      <c r="L468">
        <v>3</v>
      </c>
      <c r="M468">
        <v>22</v>
      </c>
      <c r="N468">
        <v>3</v>
      </c>
      <c r="O468">
        <v>3</v>
      </c>
      <c r="P468">
        <v>0</v>
      </c>
      <c r="Q468">
        <v>8</v>
      </c>
      <c r="R468">
        <v>14</v>
      </c>
      <c r="S468">
        <v>4</v>
      </c>
      <c r="T468">
        <v>5</v>
      </c>
      <c r="U468">
        <v>0</v>
      </c>
      <c r="V468">
        <v>0</v>
      </c>
      <c r="W468">
        <v>0</v>
      </c>
      <c r="X468">
        <v>0</v>
      </c>
      <c r="Z468">
        <v>0</v>
      </c>
      <c r="AA468">
        <v>0</v>
      </c>
    </row>
    <row r="469" spans="1:27" x14ac:dyDescent="0.4">
      <c r="A469">
        <v>575</v>
      </c>
      <c r="B469">
        <v>0</v>
      </c>
      <c r="C469" t="s">
        <v>551</v>
      </c>
      <c r="D469">
        <v>3</v>
      </c>
      <c r="E469">
        <v>5</v>
      </c>
      <c r="F469">
        <v>8</v>
      </c>
      <c r="G469">
        <v>8</v>
      </c>
      <c r="H469">
        <v>0</v>
      </c>
      <c r="I469">
        <v>5</v>
      </c>
      <c r="J469">
        <v>0</v>
      </c>
      <c r="K469">
        <v>9</v>
      </c>
      <c r="L469">
        <v>3</v>
      </c>
      <c r="M469">
        <v>27</v>
      </c>
      <c r="N469">
        <v>4</v>
      </c>
      <c r="O469">
        <v>3</v>
      </c>
      <c r="P469">
        <v>0</v>
      </c>
      <c r="Q469">
        <v>9</v>
      </c>
      <c r="R469">
        <v>18</v>
      </c>
      <c r="S469">
        <v>4</v>
      </c>
      <c r="T469">
        <v>5</v>
      </c>
      <c r="U469">
        <v>0</v>
      </c>
      <c r="V469">
        <v>0</v>
      </c>
      <c r="W469">
        <v>0</v>
      </c>
      <c r="X469">
        <v>0</v>
      </c>
      <c r="Z469">
        <v>0</v>
      </c>
      <c r="AA469">
        <v>0</v>
      </c>
    </row>
    <row r="470" spans="1:27" x14ac:dyDescent="0.4">
      <c r="A470">
        <v>576</v>
      </c>
      <c r="B470">
        <v>0</v>
      </c>
      <c r="C470" t="s">
        <v>552</v>
      </c>
      <c r="D470">
        <v>1</v>
      </c>
      <c r="E470">
        <v>1</v>
      </c>
      <c r="F470">
        <v>3</v>
      </c>
      <c r="G470">
        <v>3</v>
      </c>
      <c r="H470">
        <v>0</v>
      </c>
      <c r="I470">
        <v>16</v>
      </c>
      <c r="J470">
        <v>0</v>
      </c>
      <c r="K470">
        <v>3</v>
      </c>
      <c r="L470">
        <v>2</v>
      </c>
      <c r="M470">
        <v>0</v>
      </c>
      <c r="N470">
        <v>2</v>
      </c>
      <c r="O470">
        <v>0</v>
      </c>
      <c r="P470">
        <v>0</v>
      </c>
      <c r="Q470">
        <v>9</v>
      </c>
      <c r="R470">
        <v>0</v>
      </c>
      <c r="S470">
        <v>3</v>
      </c>
      <c r="T470">
        <v>4</v>
      </c>
      <c r="U470">
        <v>0</v>
      </c>
      <c r="V470">
        <v>0</v>
      </c>
      <c r="W470">
        <v>0</v>
      </c>
      <c r="X470">
        <v>0</v>
      </c>
      <c r="Z470">
        <v>0</v>
      </c>
      <c r="AA470">
        <v>0</v>
      </c>
    </row>
    <row r="471" spans="1:27" x14ac:dyDescent="0.4">
      <c r="A471">
        <v>577</v>
      </c>
      <c r="B471">
        <v>0</v>
      </c>
      <c r="C471" t="s">
        <v>553</v>
      </c>
      <c r="D471">
        <v>1</v>
      </c>
      <c r="E471">
        <v>1</v>
      </c>
      <c r="F471">
        <v>3</v>
      </c>
      <c r="G471">
        <v>3</v>
      </c>
      <c r="H471">
        <v>0</v>
      </c>
      <c r="I471">
        <v>24</v>
      </c>
      <c r="J471">
        <v>0</v>
      </c>
      <c r="K471">
        <v>4</v>
      </c>
      <c r="L471">
        <v>2</v>
      </c>
      <c r="M471">
        <v>0</v>
      </c>
      <c r="N471">
        <v>1</v>
      </c>
      <c r="O471">
        <v>0</v>
      </c>
      <c r="P471">
        <v>0</v>
      </c>
      <c r="Q471">
        <v>8</v>
      </c>
      <c r="R471">
        <v>0</v>
      </c>
      <c r="S471">
        <v>3</v>
      </c>
      <c r="T471">
        <v>5</v>
      </c>
      <c r="U471">
        <v>0</v>
      </c>
      <c r="V471">
        <v>0</v>
      </c>
      <c r="W471">
        <v>0</v>
      </c>
      <c r="X471">
        <v>0</v>
      </c>
      <c r="Z471">
        <v>0</v>
      </c>
      <c r="AA471">
        <v>0</v>
      </c>
    </row>
    <row r="472" spans="1:27" x14ac:dyDescent="0.4">
      <c r="A472">
        <v>578</v>
      </c>
      <c r="B472">
        <v>0</v>
      </c>
      <c r="C472" t="s">
        <v>554</v>
      </c>
      <c r="D472">
        <v>1</v>
      </c>
      <c r="E472">
        <v>1</v>
      </c>
      <c r="F472">
        <v>3</v>
      </c>
      <c r="G472">
        <v>16</v>
      </c>
      <c r="H472">
        <v>0</v>
      </c>
      <c r="I472">
        <v>19</v>
      </c>
      <c r="J472">
        <v>0</v>
      </c>
      <c r="K472">
        <v>8</v>
      </c>
      <c r="L472">
        <v>1</v>
      </c>
      <c r="M472">
        <v>0</v>
      </c>
      <c r="N472">
        <v>2</v>
      </c>
      <c r="O472">
        <v>0</v>
      </c>
      <c r="P472">
        <v>0</v>
      </c>
      <c r="Q472">
        <v>10</v>
      </c>
      <c r="R472">
        <v>0</v>
      </c>
      <c r="S472">
        <v>3</v>
      </c>
      <c r="T472">
        <v>5</v>
      </c>
      <c r="U472">
        <v>0</v>
      </c>
      <c r="V472">
        <v>0</v>
      </c>
      <c r="W472">
        <v>0</v>
      </c>
      <c r="X472">
        <v>0</v>
      </c>
      <c r="Z472">
        <v>0</v>
      </c>
      <c r="AA472">
        <v>0</v>
      </c>
    </row>
    <row r="473" spans="1:27" x14ac:dyDescent="0.4">
      <c r="A473">
        <v>579</v>
      </c>
      <c r="B473">
        <v>0</v>
      </c>
      <c r="C473" t="s">
        <v>555</v>
      </c>
      <c r="D473">
        <v>1</v>
      </c>
      <c r="E473">
        <v>1</v>
      </c>
      <c r="F473">
        <v>3</v>
      </c>
      <c r="G473">
        <v>1</v>
      </c>
      <c r="H473">
        <v>0</v>
      </c>
      <c r="I473">
        <v>17</v>
      </c>
      <c r="J473">
        <v>0</v>
      </c>
      <c r="K473">
        <v>4</v>
      </c>
      <c r="L473">
        <v>3</v>
      </c>
      <c r="M473">
        <v>0</v>
      </c>
      <c r="N473">
        <v>3</v>
      </c>
      <c r="O473">
        <v>0</v>
      </c>
      <c r="P473">
        <v>0</v>
      </c>
      <c r="Q473">
        <v>13</v>
      </c>
      <c r="R473">
        <v>0</v>
      </c>
      <c r="S473">
        <v>3</v>
      </c>
      <c r="T473">
        <v>5</v>
      </c>
      <c r="U473">
        <v>0</v>
      </c>
      <c r="V473">
        <v>0</v>
      </c>
      <c r="W473">
        <v>0</v>
      </c>
      <c r="X473">
        <v>0</v>
      </c>
      <c r="Z473">
        <v>0</v>
      </c>
      <c r="AA473">
        <v>0</v>
      </c>
    </row>
    <row r="474" spans="1:27" x14ac:dyDescent="0.4">
      <c r="A474">
        <v>580</v>
      </c>
      <c r="B474">
        <v>0</v>
      </c>
      <c r="C474" t="s">
        <v>556</v>
      </c>
      <c r="D474">
        <v>2</v>
      </c>
      <c r="E474">
        <v>3</v>
      </c>
      <c r="F474">
        <v>22</v>
      </c>
      <c r="G474">
        <v>5</v>
      </c>
      <c r="H474">
        <v>0</v>
      </c>
      <c r="I474">
        <v>0</v>
      </c>
      <c r="J474">
        <v>19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9</v>
      </c>
      <c r="R474">
        <v>0</v>
      </c>
      <c r="S474">
        <v>1</v>
      </c>
      <c r="T474">
        <v>4</v>
      </c>
      <c r="U474">
        <v>0</v>
      </c>
      <c r="V474">
        <v>0</v>
      </c>
      <c r="W474">
        <v>0</v>
      </c>
      <c r="X474">
        <v>0</v>
      </c>
      <c r="Z474">
        <v>0</v>
      </c>
      <c r="AA474">
        <v>0</v>
      </c>
    </row>
    <row r="475" spans="1:27" x14ac:dyDescent="0.4">
      <c r="A475">
        <v>581</v>
      </c>
      <c r="B475">
        <v>0</v>
      </c>
      <c r="C475" t="s">
        <v>557</v>
      </c>
      <c r="D475">
        <v>3</v>
      </c>
      <c r="E475">
        <v>5</v>
      </c>
      <c r="F475">
        <v>6</v>
      </c>
      <c r="G475">
        <v>45</v>
      </c>
      <c r="H475">
        <v>0</v>
      </c>
      <c r="I475">
        <v>2</v>
      </c>
      <c r="J475">
        <v>0</v>
      </c>
      <c r="K475">
        <v>11</v>
      </c>
      <c r="L475">
        <v>0</v>
      </c>
      <c r="M475">
        <v>0</v>
      </c>
      <c r="N475">
        <v>3</v>
      </c>
      <c r="O475">
        <v>2</v>
      </c>
      <c r="P475">
        <v>0</v>
      </c>
      <c r="Q475">
        <v>3</v>
      </c>
      <c r="R475">
        <v>0</v>
      </c>
      <c r="S475">
        <v>1</v>
      </c>
      <c r="T475">
        <v>5</v>
      </c>
      <c r="U475">
        <v>0</v>
      </c>
      <c r="V475">
        <v>0</v>
      </c>
      <c r="W475">
        <v>0</v>
      </c>
      <c r="X475">
        <v>0</v>
      </c>
      <c r="Z475">
        <v>0</v>
      </c>
      <c r="AA475">
        <v>0</v>
      </c>
    </row>
    <row r="476" spans="1:27" x14ac:dyDescent="0.4">
      <c r="A476">
        <v>582</v>
      </c>
      <c r="B476">
        <v>0</v>
      </c>
      <c r="C476" t="s">
        <v>558</v>
      </c>
      <c r="D476">
        <v>3</v>
      </c>
      <c r="E476">
        <v>5</v>
      </c>
      <c r="F476">
        <v>7</v>
      </c>
      <c r="G476">
        <v>7</v>
      </c>
      <c r="H476">
        <v>0</v>
      </c>
      <c r="I476">
        <v>3</v>
      </c>
      <c r="J476">
        <v>0</v>
      </c>
      <c r="K476">
        <v>5</v>
      </c>
      <c r="L476">
        <v>0</v>
      </c>
      <c r="M476">
        <v>11</v>
      </c>
      <c r="N476">
        <v>0</v>
      </c>
      <c r="O476">
        <v>6</v>
      </c>
      <c r="P476">
        <v>0</v>
      </c>
      <c r="Q476">
        <v>4</v>
      </c>
      <c r="R476">
        <v>16</v>
      </c>
      <c r="S476">
        <v>2</v>
      </c>
      <c r="T476">
        <v>5</v>
      </c>
      <c r="U476">
        <v>0</v>
      </c>
      <c r="V476">
        <v>0</v>
      </c>
      <c r="W476">
        <v>0</v>
      </c>
      <c r="X476">
        <v>0</v>
      </c>
      <c r="Z476">
        <v>0</v>
      </c>
      <c r="AA476">
        <v>0</v>
      </c>
    </row>
    <row r="477" spans="1:27" x14ac:dyDescent="0.4">
      <c r="A477">
        <v>583</v>
      </c>
      <c r="B477">
        <v>0</v>
      </c>
      <c r="C477" t="s">
        <v>559</v>
      </c>
      <c r="D477">
        <v>3</v>
      </c>
      <c r="E477">
        <v>5</v>
      </c>
      <c r="F477">
        <v>8</v>
      </c>
      <c r="G477">
        <v>46</v>
      </c>
      <c r="H477">
        <v>0</v>
      </c>
      <c r="I477">
        <v>4</v>
      </c>
      <c r="J477">
        <v>15</v>
      </c>
      <c r="K477">
        <v>6</v>
      </c>
      <c r="L477">
        <v>0</v>
      </c>
      <c r="M477">
        <v>12</v>
      </c>
      <c r="N477">
        <v>0</v>
      </c>
      <c r="O477">
        <v>7</v>
      </c>
      <c r="P477">
        <v>0</v>
      </c>
      <c r="Q477">
        <v>5</v>
      </c>
      <c r="R477">
        <v>0</v>
      </c>
      <c r="S477">
        <v>2</v>
      </c>
      <c r="T477">
        <v>5</v>
      </c>
      <c r="U477">
        <v>0</v>
      </c>
      <c r="V477">
        <v>0</v>
      </c>
      <c r="W477">
        <v>0</v>
      </c>
      <c r="X477">
        <v>0</v>
      </c>
      <c r="Z477">
        <v>0</v>
      </c>
      <c r="AA477">
        <v>0</v>
      </c>
    </row>
    <row r="478" spans="1:27" x14ac:dyDescent="0.4">
      <c r="A478">
        <v>584</v>
      </c>
      <c r="B478">
        <v>0</v>
      </c>
      <c r="C478" t="s">
        <v>560</v>
      </c>
      <c r="D478">
        <v>1</v>
      </c>
      <c r="E478">
        <v>1</v>
      </c>
      <c r="F478">
        <v>3</v>
      </c>
      <c r="G478">
        <v>3</v>
      </c>
      <c r="H478">
        <v>0</v>
      </c>
      <c r="I478">
        <v>22</v>
      </c>
      <c r="J478">
        <v>0</v>
      </c>
      <c r="K478">
        <v>4</v>
      </c>
      <c r="L478">
        <v>4</v>
      </c>
      <c r="M478">
        <v>0</v>
      </c>
      <c r="N478">
        <v>4</v>
      </c>
      <c r="O478">
        <v>0</v>
      </c>
      <c r="P478">
        <v>0</v>
      </c>
      <c r="Q478">
        <v>14</v>
      </c>
      <c r="R478">
        <v>0</v>
      </c>
      <c r="S478">
        <v>3</v>
      </c>
      <c r="T478">
        <v>5</v>
      </c>
      <c r="U478">
        <v>0</v>
      </c>
      <c r="V478">
        <v>0</v>
      </c>
      <c r="W478">
        <v>0</v>
      </c>
      <c r="X478">
        <v>0</v>
      </c>
      <c r="Z478">
        <v>0</v>
      </c>
      <c r="AA478">
        <v>0</v>
      </c>
    </row>
    <row r="479" spans="1:27" x14ac:dyDescent="0.4">
      <c r="A479">
        <v>585</v>
      </c>
      <c r="B479">
        <v>0</v>
      </c>
      <c r="C479" t="s">
        <v>561</v>
      </c>
      <c r="D479">
        <v>1</v>
      </c>
      <c r="E479">
        <v>1</v>
      </c>
      <c r="F479">
        <v>3</v>
      </c>
      <c r="G479">
        <v>3</v>
      </c>
      <c r="H479">
        <v>0</v>
      </c>
      <c r="I479">
        <v>27</v>
      </c>
      <c r="J479">
        <v>0</v>
      </c>
      <c r="K479">
        <v>4</v>
      </c>
      <c r="L479">
        <v>5</v>
      </c>
      <c r="M479">
        <v>0</v>
      </c>
      <c r="N479">
        <v>0</v>
      </c>
      <c r="O479">
        <v>0</v>
      </c>
      <c r="P479">
        <v>0</v>
      </c>
      <c r="Q479">
        <v>20</v>
      </c>
      <c r="R479">
        <v>0</v>
      </c>
      <c r="S479">
        <v>4</v>
      </c>
      <c r="T479">
        <v>5</v>
      </c>
      <c r="U479">
        <v>0</v>
      </c>
      <c r="V479">
        <v>0</v>
      </c>
      <c r="W479">
        <v>0</v>
      </c>
      <c r="X479">
        <v>0</v>
      </c>
      <c r="Z479">
        <v>0</v>
      </c>
      <c r="AA479">
        <v>0</v>
      </c>
    </row>
    <row r="480" spans="1:27" x14ac:dyDescent="0.4">
      <c r="A480">
        <v>586</v>
      </c>
      <c r="B480">
        <v>0</v>
      </c>
      <c r="C480" t="s">
        <v>562</v>
      </c>
      <c r="D480">
        <v>3</v>
      </c>
      <c r="E480">
        <v>5</v>
      </c>
      <c r="F480">
        <v>8</v>
      </c>
      <c r="G480">
        <v>8</v>
      </c>
      <c r="H480">
        <v>0</v>
      </c>
      <c r="I480">
        <v>9</v>
      </c>
      <c r="J480">
        <v>0</v>
      </c>
      <c r="K480">
        <v>10</v>
      </c>
      <c r="L480">
        <v>3</v>
      </c>
      <c r="M480">
        <v>29</v>
      </c>
      <c r="N480">
        <v>5</v>
      </c>
      <c r="O480">
        <v>5</v>
      </c>
      <c r="P480">
        <v>0</v>
      </c>
      <c r="Q480">
        <v>13</v>
      </c>
      <c r="R480">
        <v>27</v>
      </c>
      <c r="S480">
        <v>4</v>
      </c>
      <c r="T480">
        <v>5</v>
      </c>
      <c r="U480">
        <v>0</v>
      </c>
      <c r="V480">
        <v>0</v>
      </c>
      <c r="W480">
        <v>0</v>
      </c>
      <c r="X480">
        <v>0</v>
      </c>
      <c r="Z480">
        <v>0</v>
      </c>
      <c r="AA480">
        <v>0</v>
      </c>
    </row>
    <row r="481" spans="1:27" x14ac:dyDescent="0.4">
      <c r="A481">
        <v>587</v>
      </c>
      <c r="B481">
        <v>0</v>
      </c>
      <c r="C481" t="s">
        <v>563</v>
      </c>
      <c r="D481">
        <v>1</v>
      </c>
      <c r="E481">
        <v>1</v>
      </c>
      <c r="F481">
        <v>3</v>
      </c>
      <c r="G481">
        <v>3</v>
      </c>
      <c r="H481">
        <v>0</v>
      </c>
      <c r="I481">
        <v>28</v>
      </c>
      <c r="J481">
        <v>0</v>
      </c>
      <c r="K481">
        <v>5</v>
      </c>
      <c r="L481">
        <v>6</v>
      </c>
      <c r="M481">
        <v>0</v>
      </c>
      <c r="N481">
        <v>3</v>
      </c>
      <c r="O481">
        <v>0</v>
      </c>
      <c r="P481">
        <v>0</v>
      </c>
      <c r="Q481">
        <v>24</v>
      </c>
      <c r="R481">
        <v>0</v>
      </c>
      <c r="S481">
        <v>4</v>
      </c>
      <c r="T481">
        <v>5</v>
      </c>
      <c r="U481">
        <v>0</v>
      </c>
      <c r="V481">
        <v>0</v>
      </c>
      <c r="W481">
        <v>0</v>
      </c>
      <c r="X481">
        <v>0</v>
      </c>
      <c r="Z481">
        <v>0</v>
      </c>
      <c r="AA481">
        <v>0</v>
      </c>
    </row>
    <row r="482" spans="1:27" x14ac:dyDescent="0.4">
      <c r="A482">
        <v>588</v>
      </c>
      <c r="B482">
        <v>0</v>
      </c>
      <c r="C482" t="s">
        <v>564</v>
      </c>
      <c r="D482">
        <v>1</v>
      </c>
      <c r="E482">
        <v>1</v>
      </c>
      <c r="F482">
        <v>1</v>
      </c>
      <c r="G482">
        <v>1</v>
      </c>
      <c r="H482">
        <v>0</v>
      </c>
      <c r="I482">
        <v>6</v>
      </c>
      <c r="J482">
        <v>0</v>
      </c>
      <c r="K482">
        <v>3</v>
      </c>
      <c r="L482">
        <v>0</v>
      </c>
      <c r="M482">
        <v>6</v>
      </c>
      <c r="N482">
        <v>9</v>
      </c>
      <c r="O482">
        <v>0</v>
      </c>
      <c r="P482">
        <v>0</v>
      </c>
      <c r="Q482">
        <v>18</v>
      </c>
      <c r="R482">
        <v>0</v>
      </c>
      <c r="S482">
        <v>1</v>
      </c>
      <c r="T482">
        <v>4</v>
      </c>
      <c r="U482">
        <v>0</v>
      </c>
      <c r="V482">
        <v>0</v>
      </c>
      <c r="W482">
        <v>0</v>
      </c>
      <c r="X482">
        <v>0</v>
      </c>
      <c r="Z482">
        <v>0</v>
      </c>
      <c r="AA482">
        <v>0</v>
      </c>
    </row>
    <row r="483" spans="1:27" x14ac:dyDescent="0.4">
      <c r="A483">
        <v>589</v>
      </c>
      <c r="B483">
        <v>0</v>
      </c>
      <c r="C483" t="s">
        <v>565</v>
      </c>
      <c r="D483">
        <v>1</v>
      </c>
      <c r="E483">
        <v>1</v>
      </c>
      <c r="F483">
        <v>2</v>
      </c>
      <c r="G483">
        <v>2</v>
      </c>
      <c r="H483">
        <v>0</v>
      </c>
      <c r="I483">
        <v>8</v>
      </c>
      <c r="J483">
        <v>0</v>
      </c>
      <c r="K483">
        <v>4</v>
      </c>
      <c r="L483">
        <v>4</v>
      </c>
      <c r="M483">
        <v>6</v>
      </c>
      <c r="N483">
        <v>7</v>
      </c>
      <c r="O483">
        <v>0</v>
      </c>
      <c r="P483">
        <v>0</v>
      </c>
      <c r="Q483">
        <v>19</v>
      </c>
      <c r="R483">
        <v>0</v>
      </c>
      <c r="S483">
        <v>2</v>
      </c>
      <c r="T483">
        <v>4</v>
      </c>
      <c r="U483">
        <v>0</v>
      </c>
      <c r="V483">
        <v>0</v>
      </c>
      <c r="W483">
        <v>0</v>
      </c>
      <c r="X483">
        <v>0</v>
      </c>
      <c r="Z483">
        <v>0</v>
      </c>
      <c r="AA483">
        <v>0</v>
      </c>
    </row>
    <row r="484" spans="1:27" x14ac:dyDescent="0.4">
      <c r="A484">
        <v>590</v>
      </c>
      <c r="B484">
        <v>0</v>
      </c>
      <c r="C484" t="s">
        <v>566</v>
      </c>
      <c r="D484">
        <v>2</v>
      </c>
      <c r="E484">
        <v>3</v>
      </c>
      <c r="F484">
        <v>22</v>
      </c>
      <c r="G484">
        <v>5</v>
      </c>
      <c r="H484">
        <v>0</v>
      </c>
      <c r="I484">
        <v>4</v>
      </c>
      <c r="J484">
        <v>18</v>
      </c>
      <c r="K484">
        <v>0</v>
      </c>
      <c r="L484">
        <v>0</v>
      </c>
      <c r="M484">
        <v>0</v>
      </c>
      <c r="N484">
        <v>4</v>
      </c>
      <c r="O484">
        <v>0</v>
      </c>
      <c r="P484">
        <v>0</v>
      </c>
      <c r="Q484">
        <v>9</v>
      </c>
      <c r="R484">
        <v>0</v>
      </c>
      <c r="S484">
        <v>4</v>
      </c>
      <c r="T484">
        <v>4</v>
      </c>
      <c r="U484">
        <v>0</v>
      </c>
      <c r="V484">
        <v>0</v>
      </c>
      <c r="W484">
        <v>0</v>
      </c>
      <c r="X484">
        <v>0</v>
      </c>
      <c r="Z484">
        <v>0</v>
      </c>
      <c r="AA484">
        <v>0</v>
      </c>
    </row>
    <row r="485" spans="1:27" x14ac:dyDescent="0.4">
      <c r="A485">
        <v>591</v>
      </c>
      <c r="B485">
        <v>0</v>
      </c>
      <c r="C485" t="s">
        <v>567</v>
      </c>
      <c r="D485">
        <v>1</v>
      </c>
      <c r="E485">
        <v>1</v>
      </c>
      <c r="F485">
        <v>1</v>
      </c>
      <c r="G485">
        <v>16</v>
      </c>
      <c r="H485">
        <v>0</v>
      </c>
      <c r="I485">
        <v>5</v>
      </c>
      <c r="J485">
        <v>0</v>
      </c>
      <c r="K485">
        <v>7</v>
      </c>
      <c r="L485">
        <v>0</v>
      </c>
      <c r="M485">
        <v>7</v>
      </c>
      <c r="N485">
        <v>8</v>
      </c>
      <c r="O485">
        <v>0</v>
      </c>
      <c r="P485">
        <v>0</v>
      </c>
      <c r="Q485">
        <v>20</v>
      </c>
      <c r="R485">
        <v>0</v>
      </c>
      <c r="S485">
        <v>2</v>
      </c>
      <c r="T485">
        <v>4</v>
      </c>
      <c r="U485">
        <v>0</v>
      </c>
      <c r="V485">
        <v>0</v>
      </c>
      <c r="W485">
        <v>0</v>
      </c>
      <c r="X485">
        <v>0</v>
      </c>
      <c r="Z485">
        <v>0</v>
      </c>
      <c r="AA485">
        <v>0</v>
      </c>
    </row>
    <row r="486" spans="1:27" x14ac:dyDescent="0.4">
      <c r="A486">
        <v>592</v>
      </c>
      <c r="B486">
        <v>0</v>
      </c>
      <c r="C486" t="s">
        <v>568</v>
      </c>
      <c r="D486">
        <v>1</v>
      </c>
      <c r="E486">
        <v>1</v>
      </c>
      <c r="F486">
        <v>3</v>
      </c>
      <c r="G486">
        <v>3</v>
      </c>
      <c r="H486">
        <v>0</v>
      </c>
      <c r="I486">
        <v>23</v>
      </c>
      <c r="J486">
        <v>0</v>
      </c>
      <c r="K486">
        <v>4</v>
      </c>
      <c r="L486">
        <v>3</v>
      </c>
      <c r="M486">
        <v>0</v>
      </c>
      <c r="N486">
        <v>0</v>
      </c>
      <c r="O486">
        <v>0</v>
      </c>
      <c r="P486">
        <v>0</v>
      </c>
      <c r="Q486">
        <v>22</v>
      </c>
      <c r="R486">
        <v>0</v>
      </c>
      <c r="S486">
        <v>3</v>
      </c>
      <c r="T486">
        <v>4</v>
      </c>
      <c r="U486">
        <v>0</v>
      </c>
      <c r="V486">
        <v>0</v>
      </c>
      <c r="W486">
        <v>0</v>
      </c>
      <c r="X486">
        <v>0</v>
      </c>
      <c r="Z486">
        <v>0</v>
      </c>
      <c r="AA486">
        <v>0</v>
      </c>
    </row>
    <row r="487" spans="1:27" x14ac:dyDescent="0.4">
      <c r="A487">
        <v>593</v>
      </c>
      <c r="B487">
        <v>0</v>
      </c>
      <c r="C487" t="s">
        <v>569</v>
      </c>
      <c r="D487">
        <v>2</v>
      </c>
      <c r="E487">
        <v>3</v>
      </c>
      <c r="F487">
        <v>5</v>
      </c>
      <c r="G487">
        <v>5</v>
      </c>
      <c r="H487">
        <v>0</v>
      </c>
      <c r="I487">
        <v>0</v>
      </c>
      <c r="J487">
        <v>15</v>
      </c>
      <c r="K487">
        <v>0</v>
      </c>
      <c r="L487">
        <v>0</v>
      </c>
      <c r="M487">
        <v>0</v>
      </c>
      <c r="N487">
        <v>3</v>
      </c>
      <c r="O487">
        <v>0</v>
      </c>
      <c r="P487">
        <v>0</v>
      </c>
      <c r="Q487">
        <v>10</v>
      </c>
      <c r="R487">
        <v>0</v>
      </c>
      <c r="S487">
        <v>1</v>
      </c>
      <c r="T487">
        <v>4</v>
      </c>
      <c r="U487">
        <v>0</v>
      </c>
      <c r="V487">
        <v>0</v>
      </c>
      <c r="W487">
        <v>0</v>
      </c>
      <c r="X487">
        <v>0</v>
      </c>
      <c r="Z487">
        <v>0</v>
      </c>
      <c r="AA487">
        <v>0</v>
      </c>
    </row>
    <row r="488" spans="1:27" x14ac:dyDescent="0.4">
      <c r="A488">
        <v>594</v>
      </c>
      <c r="B488">
        <v>0</v>
      </c>
      <c r="C488" t="s">
        <v>570</v>
      </c>
      <c r="D488">
        <v>3</v>
      </c>
      <c r="E488">
        <v>5</v>
      </c>
      <c r="F488">
        <v>7</v>
      </c>
      <c r="G488">
        <v>7</v>
      </c>
      <c r="H488">
        <v>0</v>
      </c>
      <c r="I488">
        <v>17</v>
      </c>
      <c r="J488">
        <v>0</v>
      </c>
      <c r="K488">
        <v>9</v>
      </c>
      <c r="L488">
        <v>0</v>
      </c>
      <c r="M488">
        <v>0</v>
      </c>
      <c r="N488">
        <v>0</v>
      </c>
      <c r="O488">
        <v>7</v>
      </c>
      <c r="P488">
        <v>0</v>
      </c>
      <c r="Q488">
        <v>3</v>
      </c>
      <c r="R488">
        <v>3</v>
      </c>
      <c r="S488">
        <v>4</v>
      </c>
      <c r="T488">
        <v>3</v>
      </c>
      <c r="U488">
        <v>0</v>
      </c>
      <c r="V488">
        <v>0</v>
      </c>
      <c r="W488">
        <v>0</v>
      </c>
      <c r="X488">
        <v>0</v>
      </c>
      <c r="Z488">
        <v>0</v>
      </c>
      <c r="AA488">
        <v>0</v>
      </c>
    </row>
    <row r="489" spans="1:27" x14ac:dyDescent="0.4">
      <c r="A489">
        <v>595</v>
      </c>
      <c r="B489">
        <v>0</v>
      </c>
      <c r="C489" t="s">
        <v>571</v>
      </c>
      <c r="D489">
        <v>3</v>
      </c>
      <c r="E489">
        <v>5</v>
      </c>
      <c r="F489">
        <v>7</v>
      </c>
      <c r="G489">
        <v>7</v>
      </c>
      <c r="H489">
        <v>0</v>
      </c>
      <c r="I489">
        <v>17</v>
      </c>
      <c r="J489">
        <v>0</v>
      </c>
      <c r="K489">
        <v>17</v>
      </c>
      <c r="L489">
        <v>0</v>
      </c>
      <c r="M489">
        <v>0</v>
      </c>
      <c r="N489">
        <v>0</v>
      </c>
      <c r="O489">
        <v>9</v>
      </c>
      <c r="P489">
        <v>0</v>
      </c>
      <c r="Q489">
        <v>7</v>
      </c>
      <c r="R489">
        <v>7</v>
      </c>
      <c r="S489">
        <v>4</v>
      </c>
      <c r="T489">
        <v>4</v>
      </c>
      <c r="U489">
        <v>0</v>
      </c>
      <c r="V489">
        <v>0</v>
      </c>
      <c r="W489">
        <v>0</v>
      </c>
      <c r="X489">
        <v>0</v>
      </c>
      <c r="Z489">
        <v>0</v>
      </c>
      <c r="AA489">
        <v>0</v>
      </c>
    </row>
    <row r="490" spans="1:27" x14ac:dyDescent="0.4">
      <c r="A490">
        <v>596</v>
      </c>
      <c r="B490">
        <v>0</v>
      </c>
      <c r="C490" t="s">
        <v>572</v>
      </c>
      <c r="D490">
        <v>1</v>
      </c>
      <c r="E490">
        <v>1</v>
      </c>
      <c r="F490">
        <v>2</v>
      </c>
      <c r="G490">
        <v>2</v>
      </c>
      <c r="H490">
        <v>0</v>
      </c>
      <c r="I490">
        <v>14</v>
      </c>
      <c r="J490">
        <v>0</v>
      </c>
      <c r="K490">
        <v>13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9</v>
      </c>
      <c r="R490">
        <v>0</v>
      </c>
      <c r="S490">
        <v>2</v>
      </c>
      <c r="T490">
        <v>4</v>
      </c>
      <c r="U490">
        <v>0</v>
      </c>
      <c r="V490">
        <v>0</v>
      </c>
      <c r="W490">
        <v>0</v>
      </c>
      <c r="X490">
        <v>0</v>
      </c>
      <c r="Z490">
        <v>0</v>
      </c>
      <c r="AA490">
        <v>0</v>
      </c>
    </row>
    <row r="491" spans="1:27" x14ac:dyDescent="0.4">
      <c r="A491">
        <v>597</v>
      </c>
      <c r="B491">
        <v>0</v>
      </c>
      <c r="C491" t="s">
        <v>573</v>
      </c>
      <c r="D491">
        <v>3</v>
      </c>
      <c r="E491">
        <v>5</v>
      </c>
      <c r="F491">
        <v>7</v>
      </c>
      <c r="G491">
        <v>7</v>
      </c>
      <c r="H491">
        <v>0</v>
      </c>
      <c r="I491">
        <v>17</v>
      </c>
      <c r="J491">
        <v>0</v>
      </c>
      <c r="K491">
        <v>9</v>
      </c>
      <c r="L491">
        <v>0</v>
      </c>
      <c r="M491">
        <v>0</v>
      </c>
      <c r="N491">
        <v>0</v>
      </c>
      <c r="O491">
        <v>5</v>
      </c>
      <c r="P491">
        <v>0</v>
      </c>
      <c r="Q491">
        <v>3</v>
      </c>
      <c r="R491">
        <v>27</v>
      </c>
      <c r="S491">
        <v>4</v>
      </c>
      <c r="T491">
        <v>3</v>
      </c>
      <c r="U491">
        <v>0</v>
      </c>
      <c r="V491">
        <v>0</v>
      </c>
      <c r="W491">
        <v>0</v>
      </c>
      <c r="X491">
        <v>0</v>
      </c>
      <c r="Z491">
        <v>0</v>
      </c>
      <c r="AA491">
        <v>0</v>
      </c>
    </row>
    <row r="492" spans="1:27" x14ac:dyDescent="0.4">
      <c r="A492">
        <v>598</v>
      </c>
      <c r="B492">
        <v>0</v>
      </c>
      <c r="C492" t="s">
        <v>574</v>
      </c>
      <c r="D492">
        <v>3</v>
      </c>
      <c r="E492">
        <v>5</v>
      </c>
      <c r="F492">
        <v>7</v>
      </c>
      <c r="G492">
        <v>7</v>
      </c>
      <c r="H492">
        <v>0</v>
      </c>
      <c r="I492">
        <v>17</v>
      </c>
      <c r="J492">
        <v>0</v>
      </c>
      <c r="K492">
        <v>17</v>
      </c>
      <c r="L492">
        <v>0</v>
      </c>
      <c r="M492">
        <v>0</v>
      </c>
      <c r="N492">
        <v>0</v>
      </c>
      <c r="O492">
        <v>7</v>
      </c>
      <c r="P492">
        <v>0</v>
      </c>
      <c r="Q492">
        <v>7</v>
      </c>
      <c r="R492">
        <v>37</v>
      </c>
      <c r="S492">
        <v>4</v>
      </c>
      <c r="T492">
        <v>4</v>
      </c>
      <c r="U492">
        <v>0</v>
      </c>
      <c r="V492">
        <v>0</v>
      </c>
      <c r="W492">
        <v>0</v>
      </c>
      <c r="X492">
        <v>0</v>
      </c>
      <c r="Z492">
        <v>0</v>
      </c>
      <c r="AA492">
        <v>0</v>
      </c>
    </row>
    <row r="493" spans="1:27" x14ac:dyDescent="0.4">
      <c r="A493">
        <v>599</v>
      </c>
      <c r="B493">
        <v>0</v>
      </c>
      <c r="C493" t="s">
        <v>575</v>
      </c>
      <c r="D493">
        <v>1</v>
      </c>
      <c r="E493">
        <v>1</v>
      </c>
      <c r="F493">
        <v>1</v>
      </c>
      <c r="G493">
        <v>16</v>
      </c>
      <c r="H493">
        <v>0</v>
      </c>
      <c r="I493">
        <v>6</v>
      </c>
      <c r="J493">
        <v>0</v>
      </c>
      <c r="K493">
        <v>6</v>
      </c>
      <c r="L493">
        <v>0</v>
      </c>
      <c r="M493">
        <v>12</v>
      </c>
      <c r="N493">
        <v>6</v>
      </c>
      <c r="O493">
        <v>0</v>
      </c>
      <c r="P493">
        <v>0</v>
      </c>
      <c r="Q493">
        <v>24</v>
      </c>
      <c r="R493">
        <v>0</v>
      </c>
      <c r="S493">
        <v>1</v>
      </c>
      <c r="T493">
        <v>4</v>
      </c>
      <c r="U493">
        <v>0</v>
      </c>
      <c r="V493">
        <v>0</v>
      </c>
      <c r="W493">
        <v>0</v>
      </c>
      <c r="X493">
        <v>0</v>
      </c>
      <c r="Z493">
        <v>0</v>
      </c>
      <c r="AA493">
        <v>0</v>
      </c>
    </row>
    <row r="494" spans="1:27" x14ac:dyDescent="0.4">
      <c r="A494">
        <v>600</v>
      </c>
      <c r="B494">
        <v>0</v>
      </c>
      <c r="C494" t="s">
        <v>576</v>
      </c>
      <c r="D494">
        <v>1</v>
      </c>
      <c r="E494">
        <v>1</v>
      </c>
      <c r="F494">
        <v>2</v>
      </c>
      <c r="G494">
        <v>2</v>
      </c>
      <c r="H494">
        <v>0</v>
      </c>
      <c r="I494">
        <v>10</v>
      </c>
      <c r="J494">
        <v>0</v>
      </c>
      <c r="K494">
        <v>2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8</v>
      </c>
      <c r="R494">
        <v>0</v>
      </c>
      <c r="S494">
        <v>2</v>
      </c>
      <c r="T494">
        <v>3</v>
      </c>
      <c r="U494">
        <v>0</v>
      </c>
      <c r="V494">
        <v>0</v>
      </c>
      <c r="W494">
        <v>0</v>
      </c>
      <c r="X494">
        <v>0</v>
      </c>
      <c r="Z494">
        <v>0</v>
      </c>
      <c r="AA494">
        <v>0</v>
      </c>
    </row>
    <row r="495" spans="1:27" x14ac:dyDescent="0.4">
      <c r="A495">
        <v>601</v>
      </c>
      <c r="B495">
        <v>0</v>
      </c>
      <c r="C495" t="s">
        <v>577</v>
      </c>
      <c r="D495">
        <v>1</v>
      </c>
      <c r="E495">
        <v>1</v>
      </c>
      <c r="F495">
        <v>2</v>
      </c>
      <c r="G495">
        <v>2</v>
      </c>
      <c r="H495">
        <v>0</v>
      </c>
      <c r="I495">
        <v>12</v>
      </c>
      <c r="J495">
        <v>0</v>
      </c>
      <c r="K495">
        <v>2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9</v>
      </c>
      <c r="R495">
        <v>0</v>
      </c>
      <c r="S495">
        <v>2</v>
      </c>
      <c r="T495">
        <v>4</v>
      </c>
      <c r="U495">
        <v>0</v>
      </c>
      <c r="V495">
        <v>0</v>
      </c>
      <c r="W495">
        <v>0</v>
      </c>
      <c r="X495">
        <v>0</v>
      </c>
      <c r="Z495">
        <v>0</v>
      </c>
      <c r="AA495">
        <v>0</v>
      </c>
    </row>
    <row r="496" spans="1:27" x14ac:dyDescent="0.4">
      <c r="A496">
        <v>602</v>
      </c>
      <c r="B496">
        <v>0</v>
      </c>
      <c r="C496" t="s">
        <v>578</v>
      </c>
      <c r="D496">
        <v>1</v>
      </c>
      <c r="E496">
        <v>1</v>
      </c>
      <c r="F496">
        <v>1</v>
      </c>
      <c r="G496">
        <v>16</v>
      </c>
      <c r="H496">
        <v>0</v>
      </c>
      <c r="I496">
        <v>7</v>
      </c>
      <c r="J496">
        <v>0</v>
      </c>
      <c r="K496">
        <v>18</v>
      </c>
      <c r="L496">
        <v>0</v>
      </c>
      <c r="M496">
        <v>0</v>
      </c>
      <c r="N496">
        <v>3</v>
      </c>
      <c r="O496">
        <v>0</v>
      </c>
      <c r="P496">
        <v>0</v>
      </c>
      <c r="Q496">
        <v>7</v>
      </c>
      <c r="R496">
        <v>0</v>
      </c>
      <c r="S496">
        <v>2</v>
      </c>
      <c r="T496">
        <v>4</v>
      </c>
      <c r="U496">
        <v>0</v>
      </c>
      <c r="V496">
        <v>0</v>
      </c>
      <c r="W496">
        <v>0</v>
      </c>
      <c r="X496">
        <v>0</v>
      </c>
      <c r="Z496">
        <v>0</v>
      </c>
      <c r="AA496">
        <v>0</v>
      </c>
    </row>
    <row r="497" spans="1:27" x14ac:dyDescent="0.4">
      <c r="A497">
        <v>603</v>
      </c>
      <c r="B497">
        <v>0</v>
      </c>
      <c r="C497" t="s">
        <v>579</v>
      </c>
      <c r="D497">
        <v>5</v>
      </c>
      <c r="E497">
        <v>8</v>
      </c>
      <c r="F497">
        <v>13</v>
      </c>
      <c r="G497">
        <v>11</v>
      </c>
      <c r="H497">
        <v>0</v>
      </c>
      <c r="I497">
        <v>0</v>
      </c>
      <c r="J497">
        <v>0</v>
      </c>
      <c r="K497">
        <v>19</v>
      </c>
      <c r="L497">
        <v>0</v>
      </c>
      <c r="M497">
        <v>11</v>
      </c>
      <c r="N497">
        <v>3</v>
      </c>
      <c r="O497">
        <v>13</v>
      </c>
      <c r="P497">
        <v>0</v>
      </c>
      <c r="Q497">
        <v>16</v>
      </c>
      <c r="R497">
        <v>0</v>
      </c>
      <c r="S497">
        <v>0</v>
      </c>
      <c r="T497">
        <v>5</v>
      </c>
      <c r="U497">
        <v>0</v>
      </c>
      <c r="V497">
        <v>0</v>
      </c>
      <c r="W497">
        <v>0</v>
      </c>
      <c r="X497">
        <v>0</v>
      </c>
      <c r="Z497">
        <v>0</v>
      </c>
      <c r="AA497">
        <v>0</v>
      </c>
    </row>
    <row r="498" spans="1:27" x14ac:dyDescent="0.4">
      <c r="A498">
        <v>604</v>
      </c>
      <c r="B498">
        <v>0</v>
      </c>
      <c r="C498" t="s">
        <v>580</v>
      </c>
      <c r="D498">
        <v>1</v>
      </c>
      <c r="E498">
        <v>1</v>
      </c>
      <c r="F498">
        <v>1</v>
      </c>
      <c r="G498">
        <v>1</v>
      </c>
      <c r="H498">
        <v>0</v>
      </c>
      <c r="I498">
        <v>6</v>
      </c>
      <c r="J498">
        <v>6</v>
      </c>
      <c r="K498">
        <v>2</v>
      </c>
      <c r="L498">
        <v>0</v>
      </c>
      <c r="M498">
        <v>4</v>
      </c>
      <c r="N498">
        <v>6</v>
      </c>
      <c r="O498">
        <v>0</v>
      </c>
      <c r="P498">
        <v>0</v>
      </c>
      <c r="Q498">
        <v>18</v>
      </c>
      <c r="R498">
        <v>0</v>
      </c>
      <c r="S498">
        <v>1</v>
      </c>
      <c r="T498">
        <v>4</v>
      </c>
      <c r="U498">
        <v>0</v>
      </c>
      <c r="V498">
        <v>0</v>
      </c>
      <c r="W498">
        <v>0</v>
      </c>
      <c r="X498">
        <v>0</v>
      </c>
      <c r="Z498">
        <v>0</v>
      </c>
      <c r="AA498">
        <v>0</v>
      </c>
    </row>
    <row r="499" spans="1:27" x14ac:dyDescent="0.4">
      <c r="A499">
        <v>605</v>
      </c>
      <c r="B499">
        <v>0</v>
      </c>
      <c r="C499" t="s">
        <v>581</v>
      </c>
      <c r="D499">
        <v>24</v>
      </c>
      <c r="E499">
        <v>42</v>
      </c>
      <c r="F499">
        <v>51</v>
      </c>
      <c r="G499">
        <v>42</v>
      </c>
      <c r="H499">
        <v>0</v>
      </c>
      <c r="I499">
        <v>0</v>
      </c>
      <c r="J499">
        <v>6</v>
      </c>
      <c r="K499">
        <v>0</v>
      </c>
      <c r="L499">
        <v>0</v>
      </c>
      <c r="M499">
        <v>0</v>
      </c>
      <c r="N499">
        <v>6</v>
      </c>
      <c r="O499">
        <v>6</v>
      </c>
      <c r="P499">
        <v>0</v>
      </c>
      <c r="Q499">
        <v>22</v>
      </c>
      <c r="R499">
        <v>0</v>
      </c>
      <c r="S499">
        <v>1</v>
      </c>
      <c r="T499">
        <v>5</v>
      </c>
      <c r="U499">
        <v>0</v>
      </c>
      <c r="V499">
        <v>0</v>
      </c>
      <c r="W499">
        <v>0</v>
      </c>
      <c r="X499">
        <v>0</v>
      </c>
      <c r="Z499">
        <v>0</v>
      </c>
      <c r="AA499">
        <v>0</v>
      </c>
    </row>
    <row r="500" spans="1:27" x14ac:dyDescent="0.4">
      <c r="A500">
        <v>606</v>
      </c>
      <c r="B500">
        <v>0</v>
      </c>
      <c r="C500" t="s">
        <v>582</v>
      </c>
      <c r="D500">
        <v>1</v>
      </c>
      <c r="E500">
        <v>1</v>
      </c>
      <c r="F500">
        <v>1</v>
      </c>
      <c r="G500">
        <v>16</v>
      </c>
      <c r="H500">
        <v>0</v>
      </c>
      <c r="I500">
        <v>1</v>
      </c>
      <c r="J500">
        <v>0</v>
      </c>
      <c r="K500">
        <v>5</v>
      </c>
      <c r="L500">
        <v>0</v>
      </c>
      <c r="M500">
        <v>2</v>
      </c>
      <c r="N500">
        <v>3</v>
      </c>
      <c r="O500">
        <v>0</v>
      </c>
      <c r="P500">
        <v>0</v>
      </c>
      <c r="Q500">
        <v>19</v>
      </c>
      <c r="R500">
        <v>0</v>
      </c>
      <c r="S500">
        <v>1</v>
      </c>
      <c r="T500">
        <v>4</v>
      </c>
      <c r="U500">
        <v>0</v>
      </c>
      <c r="V500">
        <v>0</v>
      </c>
      <c r="W500">
        <v>0</v>
      </c>
      <c r="X500">
        <v>0</v>
      </c>
      <c r="Z500">
        <v>0</v>
      </c>
      <c r="AA500">
        <v>0</v>
      </c>
    </row>
    <row r="501" spans="1:27" x14ac:dyDescent="0.4">
      <c r="A501">
        <v>607</v>
      </c>
      <c r="B501">
        <v>0</v>
      </c>
      <c r="C501" t="s">
        <v>583</v>
      </c>
      <c r="D501">
        <v>1</v>
      </c>
      <c r="E501">
        <v>1</v>
      </c>
      <c r="F501">
        <v>1</v>
      </c>
      <c r="G501">
        <v>16</v>
      </c>
      <c r="H501">
        <v>0</v>
      </c>
      <c r="I501">
        <v>2</v>
      </c>
      <c r="J501">
        <v>0</v>
      </c>
      <c r="K501">
        <v>6</v>
      </c>
      <c r="L501">
        <v>0</v>
      </c>
      <c r="M501">
        <v>2</v>
      </c>
      <c r="N501">
        <v>2</v>
      </c>
      <c r="O501">
        <v>0</v>
      </c>
      <c r="P501">
        <v>0</v>
      </c>
      <c r="Q501">
        <v>19</v>
      </c>
      <c r="R501">
        <v>0</v>
      </c>
      <c r="S501">
        <v>1</v>
      </c>
      <c r="T501">
        <v>4</v>
      </c>
      <c r="U501">
        <v>0</v>
      </c>
      <c r="V501">
        <v>0</v>
      </c>
      <c r="W501">
        <v>0</v>
      </c>
      <c r="X501">
        <v>0</v>
      </c>
      <c r="Z501">
        <v>0</v>
      </c>
      <c r="AA501">
        <v>0</v>
      </c>
    </row>
    <row r="502" spans="1:27" x14ac:dyDescent="0.4">
      <c r="A502">
        <v>608</v>
      </c>
      <c r="B502">
        <v>0</v>
      </c>
      <c r="C502" t="s">
        <v>584</v>
      </c>
      <c r="D502">
        <v>5</v>
      </c>
      <c r="E502">
        <v>8</v>
      </c>
      <c r="F502">
        <v>13</v>
      </c>
      <c r="G502">
        <v>11</v>
      </c>
      <c r="H502">
        <v>0</v>
      </c>
      <c r="I502">
        <v>3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0</v>
      </c>
      <c r="S502">
        <v>4</v>
      </c>
      <c r="T502">
        <v>4</v>
      </c>
      <c r="U502">
        <v>0</v>
      </c>
      <c r="V502">
        <v>0</v>
      </c>
      <c r="W502">
        <v>0</v>
      </c>
      <c r="X502">
        <v>0</v>
      </c>
      <c r="Z502">
        <v>0</v>
      </c>
      <c r="AA502">
        <v>0</v>
      </c>
    </row>
    <row r="503" spans="1:27" x14ac:dyDescent="0.4">
      <c r="A503">
        <v>609</v>
      </c>
      <c r="B503">
        <v>0</v>
      </c>
      <c r="C503" t="s">
        <v>585</v>
      </c>
      <c r="D503">
        <v>1</v>
      </c>
      <c r="E503">
        <v>1</v>
      </c>
      <c r="F503">
        <v>2</v>
      </c>
      <c r="G503">
        <v>2</v>
      </c>
      <c r="H503">
        <v>0</v>
      </c>
      <c r="I503">
        <v>25</v>
      </c>
      <c r="J503">
        <v>0</v>
      </c>
      <c r="K503">
        <v>3</v>
      </c>
      <c r="L503">
        <v>3</v>
      </c>
      <c r="M503">
        <v>0</v>
      </c>
      <c r="N503">
        <v>4</v>
      </c>
      <c r="O503">
        <v>0</v>
      </c>
      <c r="P503">
        <v>0</v>
      </c>
      <c r="Q503">
        <v>25</v>
      </c>
      <c r="R503">
        <v>0</v>
      </c>
      <c r="S503">
        <v>3</v>
      </c>
      <c r="T503">
        <v>4</v>
      </c>
      <c r="U503">
        <v>0</v>
      </c>
      <c r="V503">
        <v>0</v>
      </c>
      <c r="W503">
        <v>0</v>
      </c>
      <c r="X503">
        <v>0</v>
      </c>
      <c r="Z503">
        <v>0</v>
      </c>
      <c r="AA503">
        <v>0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03"/>
  <sheetViews>
    <sheetView zoomScale="70" zoomScaleNormal="70" workbookViewId="0">
      <pane ySplit="1" topLeftCell="A86" activePane="bottomLeft" state="frozen"/>
      <selection pane="bottomLeft" activeCell="D116" sqref="D116"/>
    </sheetView>
  </sheetViews>
  <sheetFormatPr defaultRowHeight="18.75" x14ac:dyDescent="0.4"/>
  <cols>
    <col min="2" max="2" width="9.25" bestFit="1" customWidth="1"/>
    <col min="3" max="3" width="15.125" bestFit="1" customWidth="1"/>
    <col min="4" max="4" width="63.125" bestFit="1" customWidth="1"/>
  </cols>
  <sheetData>
    <row r="1" spans="1:2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4">
      <c r="A2">
        <v>1</v>
      </c>
      <c r="B2">
        <v>1</v>
      </c>
      <c r="C2" t="s">
        <v>28</v>
      </c>
      <c r="D2" t="s">
        <v>29</v>
      </c>
      <c r="E2">
        <v>1</v>
      </c>
      <c r="F2">
        <v>1</v>
      </c>
      <c r="G2">
        <v>1</v>
      </c>
      <c r="H2">
        <v>1</v>
      </c>
      <c r="I2">
        <v>0</v>
      </c>
      <c r="J2">
        <v>1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t="s">
        <v>30</v>
      </c>
      <c r="U2" t="s">
        <v>31</v>
      </c>
      <c r="V2">
        <v>0</v>
      </c>
      <c r="W2">
        <v>1</v>
      </c>
      <c r="X2">
        <v>1</v>
      </c>
      <c r="Y2">
        <v>0</v>
      </c>
      <c r="AA2">
        <v>0</v>
      </c>
      <c r="AB2">
        <v>0</v>
      </c>
    </row>
    <row r="3" spans="1:28" x14ac:dyDescent="0.4">
      <c r="A3">
        <v>2</v>
      </c>
      <c r="B3">
        <v>2</v>
      </c>
      <c r="C3" t="s">
        <v>28</v>
      </c>
      <c r="D3" t="s">
        <v>32</v>
      </c>
      <c r="E3">
        <v>1</v>
      </c>
      <c r="F3">
        <v>1</v>
      </c>
      <c r="G3">
        <v>1</v>
      </c>
      <c r="H3">
        <v>1</v>
      </c>
      <c r="I3">
        <v>0</v>
      </c>
      <c r="J3">
        <v>2</v>
      </c>
      <c r="K3">
        <v>0</v>
      </c>
      <c r="L3">
        <v>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30</v>
      </c>
      <c r="U3" t="s">
        <v>31</v>
      </c>
      <c r="V3">
        <v>0</v>
      </c>
      <c r="W3">
        <v>1</v>
      </c>
      <c r="X3">
        <v>2</v>
      </c>
      <c r="Y3">
        <v>0</v>
      </c>
      <c r="AA3">
        <v>0</v>
      </c>
      <c r="AB3">
        <v>0</v>
      </c>
    </row>
    <row r="4" spans="1:28" x14ac:dyDescent="0.4">
      <c r="A4">
        <v>3</v>
      </c>
      <c r="B4">
        <v>3</v>
      </c>
      <c r="C4" t="s">
        <v>28</v>
      </c>
      <c r="D4" t="s">
        <v>33</v>
      </c>
      <c r="E4">
        <v>1</v>
      </c>
      <c r="F4">
        <v>1</v>
      </c>
      <c r="G4">
        <v>1</v>
      </c>
      <c r="H4">
        <v>16</v>
      </c>
      <c r="I4">
        <v>0</v>
      </c>
      <c r="J4">
        <v>2</v>
      </c>
      <c r="K4">
        <v>0</v>
      </c>
      <c r="L4">
        <v>7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t="s">
        <v>30</v>
      </c>
      <c r="U4" t="s">
        <v>20</v>
      </c>
      <c r="V4">
        <v>0</v>
      </c>
      <c r="W4">
        <v>1</v>
      </c>
      <c r="X4">
        <v>3</v>
      </c>
      <c r="Y4">
        <v>0</v>
      </c>
      <c r="AA4">
        <v>0</v>
      </c>
      <c r="AB4">
        <v>0</v>
      </c>
    </row>
    <row r="5" spans="1:28" x14ac:dyDescent="0.4">
      <c r="A5">
        <v>4</v>
      </c>
      <c r="B5">
        <v>4</v>
      </c>
      <c r="C5" t="s">
        <v>34</v>
      </c>
      <c r="D5" t="s">
        <v>35</v>
      </c>
      <c r="E5">
        <v>1</v>
      </c>
      <c r="F5">
        <v>1</v>
      </c>
      <c r="G5">
        <v>2</v>
      </c>
      <c r="H5">
        <v>2</v>
      </c>
      <c r="I5">
        <v>0</v>
      </c>
      <c r="J5">
        <v>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 t="s">
        <v>36</v>
      </c>
      <c r="U5" t="s">
        <v>31</v>
      </c>
      <c r="V5">
        <v>0</v>
      </c>
      <c r="W5">
        <v>2</v>
      </c>
      <c r="X5">
        <v>1</v>
      </c>
      <c r="Y5">
        <v>0</v>
      </c>
      <c r="AA5">
        <v>0</v>
      </c>
      <c r="AB5">
        <v>0</v>
      </c>
    </row>
    <row r="6" spans="1:28" x14ac:dyDescent="0.4">
      <c r="A6">
        <v>5</v>
      </c>
      <c r="B6">
        <v>5</v>
      </c>
      <c r="C6" t="s">
        <v>34</v>
      </c>
      <c r="D6" t="s">
        <v>37</v>
      </c>
      <c r="E6">
        <v>1</v>
      </c>
      <c r="F6">
        <v>1</v>
      </c>
      <c r="G6">
        <v>2</v>
      </c>
      <c r="H6">
        <v>2</v>
      </c>
      <c r="I6">
        <v>0</v>
      </c>
      <c r="J6">
        <v>7</v>
      </c>
      <c r="K6">
        <v>0</v>
      </c>
      <c r="L6">
        <v>4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 t="s">
        <v>36</v>
      </c>
      <c r="U6" t="s">
        <v>31</v>
      </c>
      <c r="V6">
        <v>0</v>
      </c>
      <c r="W6">
        <v>2</v>
      </c>
      <c r="X6">
        <v>5</v>
      </c>
      <c r="Y6">
        <v>0</v>
      </c>
      <c r="AA6">
        <v>0</v>
      </c>
      <c r="AB6">
        <v>0</v>
      </c>
    </row>
    <row r="7" spans="1:28" x14ac:dyDescent="0.4">
      <c r="A7">
        <v>6</v>
      </c>
      <c r="B7">
        <v>6</v>
      </c>
      <c r="C7" t="s">
        <v>34</v>
      </c>
      <c r="D7" t="s">
        <v>38</v>
      </c>
      <c r="E7">
        <v>1</v>
      </c>
      <c r="F7">
        <v>1</v>
      </c>
      <c r="G7">
        <v>2</v>
      </c>
      <c r="H7">
        <v>2</v>
      </c>
      <c r="I7">
        <v>0</v>
      </c>
      <c r="J7">
        <v>8</v>
      </c>
      <c r="K7">
        <v>0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t="s">
        <v>36</v>
      </c>
      <c r="U7" t="s">
        <v>31</v>
      </c>
      <c r="V7">
        <v>0</v>
      </c>
      <c r="W7">
        <v>3</v>
      </c>
      <c r="X7">
        <v>4</v>
      </c>
      <c r="Y7">
        <v>0</v>
      </c>
      <c r="AA7">
        <v>0</v>
      </c>
      <c r="AB7">
        <v>0</v>
      </c>
    </row>
    <row r="8" spans="1:28" x14ac:dyDescent="0.4">
      <c r="A8">
        <v>7</v>
      </c>
      <c r="B8">
        <v>7</v>
      </c>
      <c r="C8" t="s">
        <v>39</v>
      </c>
      <c r="D8" t="s">
        <v>40</v>
      </c>
      <c r="E8">
        <v>1</v>
      </c>
      <c r="F8">
        <v>1</v>
      </c>
      <c r="G8">
        <v>3</v>
      </c>
      <c r="H8">
        <v>3</v>
      </c>
      <c r="I8">
        <v>0</v>
      </c>
      <c r="J8">
        <v>15</v>
      </c>
      <c r="K8">
        <v>0</v>
      </c>
      <c r="L8">
        <v>4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t="s">
        <v>41</v>
      </c>
      <c r="U8" t="s">
        <v>31</v>
      </c>
      <c r="V8">
        <v>0</v>
      </c>
      <c r="W8">
        <v>10</v>
      </c>
      <c r="X8">
        <v>15</v>
      </c>
      <c r="Y8">
        <v>0</v>
      </c>
      <c r="AA8">
        <v>0</v>
      </c>
      <c r="AB8">
        <v>0</v>
      </c>
    </row>
    <row r="9" spans="1:28" x14ac:dyDescent="0.4">
      <c r="A9">
        <v>8</v>
      </c>
      <c r="B9">
        <v>8</v>
      </c>
      <c r="C9" t="s">
        <v>39</v>
      </c>
      <c r="D9" t="s">
        <v>42</v>
      </c>
      <c r="E9">
        <v>1</v>
      </c>
      <c r="F9">
        <v>1</v>
      </c>
      <c r="G9">
        <v>3</v>
      </c>
      <c r="H9">
        <v>3</v>
      </c>
      <c r="I9">
        <v>0</v>
      </c>
      <c r="J9">
        <v>20</v>
      </c>
      <c r="K9">
        <v>0</v>
      </c>
      <c r="L9">
        <v>4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t="s">
        <v>41</v>
      </c>
      <c r="U9" t="s">
        <v>20</v>
      </c>
      <c r="V9">
        <v>0</v>
      </c>
      <c r="W9">
        <v>12</v>
      </c>
      <c r="X9">
        <v>20</v>
      </c>
      <c r="Y9">
        <v>0</v>
      </c>
      <c r="AA9">
        <v>0</v>
      </c>
      <c r="AB9">
        <v>0</v>
      </c>
    </row>
    <row r="10" spans="1:28" x14ac:dyDescent="0.4">
      <c r="A10">
        <v>9</v>
      </c>
      <c r="B10">
        <v>9</v>
      </c>
      <c r="C10" t="s">
        <v>39</v>
      </c>
      <c r="D10" t="s">
        <v>43</v>
      </c>
      <c r="E10">
        <v>1</v>
      </c>
      <c r="F10">
        <v>1</v>
      </c>
      <c r="G10">
        <v>3</v>
      </c>
      <c r="H10">
        <v>3</v>
      </c>
      <c r="I10">
        <v>0</v>
      </c>
      <c r="J10">
        <v>26</v>
      </c>
      <c r="K10">
        <v>0</v>
      </c>
      <c r="L10">
        <v>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 t="s">
        <v>44</v>
      </c>
      <c r="U10" t="s">
        <v>45</v>
      </c>
      <c r="V10">
        <v>0</v>
      </c>
      <c r="W10">
        <v>24</v>
      </c>
      <c r="X10">
        <v>25</v>
      </c>
      <c r="Y10">
        <v>0</v>
      </c>
      <c r="AA10">
        <v>0</v>
      </c>
      <c r="AB10">
        <v>0</v>
      </c>
    </row>
    <row r="11" spans="1:28" x14ac:dyDescent="0.4">
      <c r="A11">
        <v>10</v>
      </c>
      <c r="B11">
        <v>10</v>
      </c>
      <c r="C11" t="s">
        <v>46</v>
      </c>
      <c r="D11" t="s">
        <v>47</v>
      </c>
      <c r="E11">
        <v>1</v>
      </c>
      <c r="F11">
        <v>2</v>
      </c>
      <c r="G11">
        <v>4</v>
      </c>
      <c r="H11">
        <v>16</v>
      </c>
      <c r="I11">
        <v>0</v>
      </c>
      <c r="J11">
        <v>2</v>
      </c>
      <c r="K11">
        <v>0</v>
      </c>
      <c r="L11">
        <v>4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0</v>
      </c>
      <c r="T11" t="s">
        <v>30</v>
      </c>
      <c r="U11" t="s">
        <v>31</v>
      </c>
      <c r="V11">
        <v>0</v>
      </c>
      <c r="W11">
        <v>2</v>
      </c>
      <c r="X11">
        <v>2</v>
      </c>
      <c r="Y11">
        <v>0</v>
      </c>
      <c r="AA11">
        <v>0</v>
      </c>
      <c r="AB11">
        <v>0</v>
      </c>
    </row>
    <row r="12" spans="1:28" x14ac:dyDescent="0.4">
      <c r="A12">
        <v>11</v>
      </c>
      <c r="B12">
        <v>11</v>
      </c>
      <c r="C12" t="s">
        <v>46</v>
      </c>
      <c r="D12" t="s">
        <v>48</v>
      </c>
      <c r="E12">
        <v>1</v>
      </c>
      <c r="F12">
        <v>2</v>
      </c>
      <c r="G12">
        <v>4</v>
      </c>
      <c r="H12">
        <v>4</v>
      </c>
      <c r="I12">
        <v>0</v>
      </c>
      <c r="J12">
        <v>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 t="s">
        <v>36</v>
      </c>
      <c r="U12" t="s">
        <v>31</v>
      </c>
      <c r="V12">
        <v>0</v>
      </c>
      <c r="W12">
        <v>2</v>
      </c>
      <c r="X12">
        <v>2</v>
      </c>
      <c r="Y12">
        <v>0</v>
      </c>
      <c r="AA12">
        <v>0</v>
      </c>
      <c r="AB12">
        <v>0</v>
      </c>
    </row>
    <row r="13" spans="1:28" x14ac:dyDescent="0.4">
      <c r="A13">
        <v>12</v>
      </c>
      <c r="B13">
        <v>12</v>
      </c>
      <c r="C13" t="s">
        <v>46</v>
      </c>
      <c r="D13" t="s">
        <v>49</v>
      </c>
      <c r="E13">
        <v>1</v>
      </c>
      <c r="F13">
        <v>2</v>
      </c>
      <c r="G13">
        <v>4</v>
      </c>
      <c r="H13">
        <v>4</v>
      </c>
      <c r="I13">
        <v>0</v>
      </c>
      <c r="J13">
        <v>7</v>
      </c>
      <c r="K13">
        <v>0</v>
      </c>
      <c r="L13">
        <v>3</v>
      </c>
      <c r="M13">
        <v>0</v>
      </c>
      <c r="N13">
        <v>0</v>
      </c>
      <c r="O13">
        <v>0</v>
      </c>
      <c r="P13">
        <v>0</v>
      </c>
      <c r="Q13">
        <v>0</v>
      </c>
      <c r="R13">
        <v>2</v>
      </c>
      <c r="S13">
        <v>0</v>
      </c>
      <c r="T13" t="s">
        <v>36</v>
      </c>
      <c r="U13" t="s">
        <v>20</v>
      </c>
      <c r="V13">
        <v>0</v>
      </c>
      <c r="W13">
        <v>2</v>
      </c>
      <c r="X13">
        <v>5</v>
      </c>
      <c r="Y13">
        <v>0</v>
      </c>
      <c r="AA13">
        <v>0</v>
      </c>
      <c r="AB13">
        <v>0</v>
      </c>
    </row>
    <row r="14" spans="1:28" x14ac:dyDescent="0.4">
      <c r="A14">
        <v>13</v>
      </c>
      <c r="B14">
        <v>13</v>
      </c>
      <c r="C14" t="s">
        <v>50</v>
      </c>
      <c r="D14" t="s">
        <v>51</v>
      </c>
      <c r="E14">
        <v>2</v>
      </c>
      <c r="F14">
        <v>3</v>
      </c>
      <c r="G14">
        <v>5</v>
      </c>
      <c r="H14">
        <v>5</v>
      </c>
      <c r="I14">
        <v>0</v>
      </c>
      <c r="J14">
        <v>0</v>
      </c>
      <c r="K14">
        <v>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t="s">
        <v>30</v>
      </c>
      <c r="U14" t="s">
        <v>31</v>
      </c>
      <c r="V14">
        <v>1</v>
      </c>
      <c r="W14">
        <v>1</v>
      </c>
      <c r="X14">
        <v>1</v>
      </c>
      <c r="Y14">
        <v>0</v>
      </c>
      <c r="AA14">
        <v>0</v>
      </c>
      <c r="AB14">
        <v>0</v>
      </c>
    </row>
    <row r="15" spans="1:28" x14ac:dyDescent="0.4">
      <c r="A15">
        <v>14</v>
      </c>
      <c r="B15">
        <v>14</v>
      </c>
      <c r="C15" t="s">
        <v>50</v>
      </c>
      <c r="D15" t="s">
        <v>52</v>
      </c>
      <c r="E15">
        <v>2</v>
      </c>
      <c r="F15">
        <v>3</v>
      </c>
      <c r="G15">
        <v>5</v>
      </c>
      <c r="H15">
        <v>5</v>
      </c>
      <c r="I15">
        <v>0</v>
      </c>
      <c r="J15">
        <v>0</v>
      </c>
      <c r="K15">
        <v>7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t="s">
        <v>30</v>
      </c>
      <c r="U15" t="s">
        <v>31</v>
      </c>
      <c r="V15">
        <v>1</v>
      </c>
      <c r="W15">
        <v>2</v>
      </c>
      <c r="X15">
        <v>2</v>
      </c>
      <c r="Y15">
        <v>0</v>
      </c>
      <c r="AA15">
        <v>0</v>
      </c>
      <c r="AB15">
        <v>0</v>
      </c>
    </row>
    <row r="16" spans="1:28" x14ac:dyDescent="0.4">
      <c r="A16">
        <v>15</v>
      </c>
      <c r="B16">
        <v>15</v>
      </c>
      <c r="C16" t="s">
        <v>50</v>
      </c>
      <c r="D16" t="s">
        <v>53</v>
      </c>
      <c r="E16">
        <v>2</v>
      </c>
      <c r="F16">
        <v>3</v>
      </c>
      <c r="G16">
        <v>5</v>
      </c>
      <c r="H16">
        <v>5</v>
      </c>
      <c r="I16">
        <v>0</v>
      </c>
      <c r="J16">
        <v>0</v>
      </c>
      <c r="K16">
        <v>10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t="s">
        <v>30</v>
      </c>
      <c r="U16" t="s">
        <v>20</v>
      </c>
      <c r="V16">
        <v>2</v>
      </c>
      <c r="W16">
        <v>2</v>
      </c>
      <c r="X16">
        <v>2</v>
      </c>
      <c r="Y16">
        <v>0</v>
      </c>
      <c r="AA16">
        <v>0</v>
      </c>
      <c r="AB16">
        <v>0</v>
      </c>
    </row>
    <row r="17" spans="1:28" x14ac:dyDescent="0.4">
      <c r="A17">
        <v>16</v>
      </c>
      <c r="B17">
        <v>16</v>
      </c>
      <c r="C17" t="s">
        <v>54</v>
      </c>
      <c r="D17" t="s">
        <v>55</v>
      </c>
      <c r="E17">
        <v>3</v>
      </c>
      <c r="F17">
        <v>5</v>
      </c>
      <c r="G17">
        <v>8</v>
      </c>
      <c r="H17">
        <v>8</v>
      </c>
      <c r="I17">
        <v>1</v>
      </c>
      <c r="J17">
        <v>0</v>
      </c>
      <c r="K17">
        <v>5</v>
      </c>
      <c r="L17">
        <v>0</v>
      </c>
      <c r="M17">
        <v>0</v>
      </c>
      <c r="N17">
        <v>4</v>
      </c>
      <c r="O17">
        <v>0</v>
      </c>
      <c r="P17">
        <v>1</v>
      </c>
      <c r="Q17">
        <v>0</v>
      </c>
      <c r="R17">
        <v>0</v>
      </c>
      <c r="S17">
        <v>0</v>
      </c>
      <c r="T17" t="s">
        <v>56</v>
      </c>
      <c r="U17" t="s">
        <v>31</v>
      </c>
      <c r="V17">
        <v>1</v>
      </c>
      <c r="W17">
        <v>1</v>
      </c>
      <c r="X17">
        <v>0</v>
      </c>
      <c r="Y17">
        <v>2</v>
      </c>
      <c r="AA17">
        <v>4</v>
      </c>
      <c r="AB17">
        <v>5</v>
      </c>
    </row>
    <row r="18" spans="1:28" x14ac:dyDescent="0.4">
      <c r="A18">
        <v>17</v>
      </c>
      <c r="B18">
        <v>17</v>
      </c>
      <c r="C18" t="s">
        <v>54</v>
      </c>
      <c r="D18" t="s">
        <v>57</v>
      </c>
      <c r="E18">
        <v>3</v>
      </c>
      <c r="F18">
        <v>5</v>
      </c>
      <c r="G18">
        <v>8</v>
      </c>
      <c r="H18">
        <v>8</v>
      </c>
      <c r="I18">
        <v>1</v>
      </c>
      <c r="J18">
        <v>0</v>
      </c>
      <c r="K18">
        <v>7</v>
      </c>
      <c r="L18">
        <v>0</v>
      </c>
      <c r="M18">
        <v>0</v>
      </c>
      <c r="N18">
        <v>3</v>
      </c>
      <c r="O18">
        <v>0</v>
      </c>
      <c r="P18">
        <v>1</v>
      </c>
      <c r="Q18">
        <v>0</v>
      </c>
      <c r="R18">
        <v>0</v>
      </c>
      <c r="S18">
        <v>0</v>
      </c>
      <c r="T18" t="s">
        <v>56</v>
      </c>
      <c r="U18" t="s">
        <v>20</v>
      </c>
      <c r="V18">
        <v>2</v>
      </c>
      <c r="W18">
        <v>4</v>
      </c>
      <c r="X18">
        <v>0</v>
      </c>
      <c r="Y18">
        <v>4</v>
      </c>
      <c r="AA18">
        <v>5</v>
      </c>
      <c r="AB18">
        <v>6</v>
      </c>
    </row>
    <row r="19" spans="1:28" x14ac:dyDescent="0.4">
      <c r="A19">
        <v>18</v>
      </c>
      <c r="B19">
        <v>18</v>
      </c>
      <c r="C19" t="s">
        <v>54</v>
      </c>
      <c r="D19" t="s">
        <v>58</v>
      </c>
      <c r="E19">
        <v>3</v>
      </c>
      <c r="F19">
        <v>5</v>
      </c>
      <c r="G19">
        <v>8</v>
      </c>
      <c r="H19">
        <v>8</v>
      </c>
      <c r="I19">
        <v>33</v>
      </c>
      <c r="J19">
        <v>0</v>
      </c>
      <c r="K19">
        <v>10</v>
      </c>
      <c r="L19">
        <v>1</v>
      </c>
      <c r="M19">
        <v>0</v>
      </c>
      <c r="N19">
        <v>4</v>
      </c>
      <c r="O19">
        <v>0</v>
      </c>
      <c r="P19">
        <v>1</v>
      </c>
      <c r="Q19">
        <v>0</v>
      </c>
      <c r="R19">
        <v>0</v>
      </c>
      <c r="S19">
        <v>0</v>
      </c>
      <c r="T19" t="s">
        <v>56</v>
      </c>
      <c r="U19" t="s">
        <v>45</v>
      </c>
      <c r="V19">
        <v>2</v>
      </c>
      <c r="W19">
        <v>5</v>
      </c>
      <c r="X19">
        <v>0</v>
      </c>
      <c r="Y19">
        <v>10</v>
      </c>
      <c r="AA19">
        <v>6</v>
      </c>
      <c r="AB19">
        <v>7</v>
      </c>
    </row>
    <row r="20" spans="1:28" x14ac:dyDescent="0.4">
      <c r="A20">
        <v>19</v>
      </c>
      <c r="B20">
        <v>19</v>
      </c>
      <c r="C20" t="s">
        <v>59</v>
      </c>
      <c r="D20" t="s">
        <v>60</v>
      </c>
      <c r="E20">
        <v>3</v>
      </c>
      <c r="F20">
        <v>5</v>
      </c>
      <c r="G20">
        <v>6</v>
      </c>
      <c r="H20">
        <v>6</v>
      </c>
      <c r="I20">
        <v>11</v>
      </c>
      <c r="J20">
        <v>0</v>
      </c>
      <c r="K20">
        <v>0</v>
      </c>
      <c r="L20">
        <v>3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 t="s">
        <v>56</v>
      </c>
      <c r="U20" t="s">
        <v>31</v>
      </c>
      <c r="V20">
        <v>1</v>
      </c>
      <c r="W20">
        <v>1</v>
      </c>
      <c r="X20">
        <v>0</v>
      </c>
      <c r="Y20">
        <v>1</v>
      </c>
      <c r="AA20">
        <v>3</v>
      </c>
      <c r="AB20">
        <v>3</v>
      </c>
    </row>
    <row r="21" spans="1:28" x14ac:dyDescent="0.4">
      <c r="A21">
        <v>20</v>
      </c>
      <c r="B21">
        <v>20</v>
      </c>
      <c r="C21" t="s">
        <v>59</v>
      </c>
      <c r="D21" t="s">
        <v>61</v>
      </c>
      <c r="E21">
        <v>3</v>
      </c>
      <c r="F21">
        <v>5</v>
      </c>
      <c r="G21">
        <v>6</v>
      </c>
      <c r="H21">
        <v>6</v>
      </c>
      <c r="I21">
        <v>11</v>
      </c>
      <c r="J21">
        <v>0</v>
      </c>
      <c r="K21">
        <v>0</v>
      </c>
      <c r="L21">
        <v>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56</v>
      </c>
      <c r="U21" t="s">
        <v>31</v>
      </c>
      <c r="V21">
        <v>1</v>
      </c>
      <c r="W21">
        <v>1</v>
      </c>
      <c r="X21">
        <v>0</v>
      </c>
      <c r="Y21">
        <v>2</v>
      </c>
      <c r="AA21">
        <v>7</v>
      </c>
      <c r="AB21">
        <v>4</v>
      </c>
    </row>
    <row r="22" spans="1:28" x14ac:dyDescent="0.4">
      <c r="A22">
        <v>21</v>
      </c>
      <c r="B22">
        <v>21</v>
      </c>
      <c r="C22" t="s">
        <v>59</v>
      </c>
      <c r="D22" t="s">
        <v>62</v>
      </c>
      <c r="E22">
        <v>3</v>
      </c>
      <c r="F22">
        <v>5</v>
      </c>
      <c r="G22">
        <v>6</v>
      </c>
      <c r="H22">
        <v>6</v>
      </c>
      <c r="I22">
        <v>12</v>
      </c>
      <c r="J22">
        <v>0</v>
      </c>
      <c r="K22">
        <v>0</v>
      </c>
      <c r="L22">
        <v>6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 t="s">
        <v>56</v>
      </c>
      <c r="U22" t="s">
        <v>20</v>
      </c>
      <c r="V22">
        <v>1</v>
      </c>
      <c r="W22">
        <v>2</v>
      </c>
      <c r="X22">
        <v>0</v>
      </c>
      <c r="Y22">
        <v>3</v>
      </c>
      <c r="AA22">
        <v>6</v>
      </c>
      <c r="AB22">
        <v>5</v>
      </c>
    </row>
    <row r="23" spans="1:28" x14ac:dyDescent="0.4">
      <c r="A23">
        <v>22</v>
      </c>
      <c r="B23">
        <v>22</v>
      </c>
      <c r="C23" t="s">
        <v>59</v>
      </c>
      <c r="D23" t="s">
        <v>63</v>
      </c>
      <c r="E23">
        <v>3</v>
      </c>
      <c r="F23">
        <v>5</v>
      </c>
      <c r="G23">
        <v>6</v>
      </c>
      <c r="H23">
        <v>6</v>
      </c>
      <c r="I23">
        <v>13</v>
      </c>
      <c r="J23">
        <v>0</v>
      </c>
      <c r="K23">
        <v>0</v>
      </c>
      <c r="L23">
        <v>10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t="s">
        <v>56</v>
      </c>
      <c r="U23" t="s">
        <v>64</v>
      </c>
      <c r="V23">
        <v>2</v>
      </c>
      <c r="W23">
        <v>2</v>
      </c>
      <c r="X23">
        <v>0</v>
      </c>
      <c r="Y23">
        <v>9</v>
      </c>
      <c r="AA23">
        <v>5</v>
      </c>
      <c r="AB23">
        <v>7</v>
      </c>
    </row>
    <row r="24" spans="1:28" x14ac:dyDescent="0.4">
      <c r="A24">
        <v>23</v>
      </c>
      <c r="B24">
        <v>23</v>
      </c>
      <c r="C24" t="s">
        <v>65</v>
      </c>
      <c r="D24" t="s">
        <v>66</v>
      </c>
      <c r="E24">
        <v>3</v>
      </c>
      <c r="F24">
        <v>5</v>
      </c>
      <c r="G24">
        <v>7</v>
      </c>
      <c r="H24">
        <v>7</v>
      </c>
      <c r="I24">
        <v>15</v>
      </c>
      <c r="J24">
        <v>0</v>
      </c>
      <c r="K24">
        <v>0</v>
      </c>
      <c r="L24">
        <v>0</v>
      </c>
      <c r="M24">
        <v>0</v>
      </c>
      <c r="N24">
        <v>3</v>
      </c>
      <c r="O24">
        <v>0</v>
      </c>
      <c r="P24">
        <v>0</v>
      </c>
      <c r="Q24">
        <v>0</v>
      </c>
      <c r="R24">
        <v>0</v>
      </c>
      <c r="S24">
        <v>5</v>
      </c>
      <c r="T24" t="s">
        <v>56</v>
      </c>
      <c r="U24" t="s">
        <v>31</v>
      </c>
      <c r="V24">
        <v>1</v>
      </c>
      <c r="W24">
        <v>1</v>
      </c>
      <c r="X24">
        <v>0</v>
      </c>
      <c r="Y24">
        <v>2</v>
      </c>
      <c r="AA24">
        <v>4</v>
      </c>
      <c r="AB24">
        <v>4</v>
      </c>
    </row>
    <row r="25" spans="1:28" x14ac:dyDescent="0.4">
      <c r="A25">
        <v>24</v>
      </c>
      <c r="B25">
        <v>24</v>
      </c>
      <c r="C25" t="s">
        <v>65</v>
      </c>
      <c r="D25" t="s">
        <v>67</v>
      </c>
      <c r="E25">
        <v>3</v>
      </c>
      <c r="F25">
        <v>5</v>
      </c>
      <c r="G25">
        <v>7</v>
      </c>
      <c r="H25">
        <v>7</v>
      </c>
      <c r="I25">
        <v>16</v>
      </c>
      <c r="J25">
        <v>0</v>
      </c>
      <c r="K25">
        <v>0</v>
      </c>
      <c r="L25">
        <v>0</v>
      </c>
      <c r="M25">
        <v>0</v>
      </c>
      <c r="N25">
        <v>3</v>
      </c>
      <c r="O25">
        <v>0</v>
      </c>
      <c r="P25">
        <v>0</v>
      </c>
      <c r="Q25">
        <v>0</v>
      </c>
      <c r="R25">
        <v>0</v>
      </c>
      <c r="S25">
        <v>8</v>
      </c>
      <c r="T25" t="s">
        <v>56</v>
      </c>
      <c r="U25" t="s">
        <v>20</v>
      </c>
      <c r="V25">
        <v>2</v>
      </c>
      <c r="W25">
        <v>3</v>
      </c>
      <c r="X25">
        <v>0</v>
      </c>
      <c r="Y25">
        <v>3</v>
      </c>
      <c r="AA25">
        <v>4</v>
      </c>
      <c r="AB25">
        <v>5</v>
      </c>
    </row>
    <row r="26" spans="1:28" x14ac:dyDescent="0.4">
      <c r="A26">
        <v>25</v>
      </c>
      <c r="B26">
        <v>25</v>
      </c>
      <c r="C26" t="s">
        <v>68</v>
      </c>
      <c r="D26" t="s">
        <v>69</v>
      </c>
      <c r="E26">
        <v>5</v>
      </c>
      <c r="F26">
        <v>7</v>
      </c>
      <c r="G26">
        <v>10</v>
      </c>
      <c r="H26">
        <v>10</v>
      </c>
      <c r="I26">
        <v>2</v>
      </c>
      <c r="J26">
        <v>0</v>
      </c>
      <c r="K26">
        <v>0</v>
      </c>
      <c r="L26">
        <v>1</v>
      </c>
      <c r="M26">
        <v>0</v>
      </c>
      <c r="N26">
        <v>2</v>
      </c>
      <c r="O26">
        <v>0</v>
      </c>
      <c r="P26">
        <v>5</v>
      </c>
      <c r="Q26">
        <v>0</v>
      </c>
      <c r="R26">
        <v>1</v>
      </c>
      <c r="S26">
        <v>1</v>
      </c>
      <c r="T26" t="s">
        <v>56</v>
      </c>
      <c r="U26" t="s">
        <v>31</v>
      </c>
      <c r="V26">
        <v>1</v>
      </c>
      <c r="W26">
        <v>1</v>
      </c>
      <c r="X26">
        <v>0</v>
      </c>
      <c r="Y26">
        <v>2</v>
      </c>
      <c r="AA26">
        <v>7</v>
      </c>
      <c r="AB26">
        <v>5</v>
      </c>
    </row>
    <row r="27" spans="1:28" x14ac:dyDescent="0.4">
      <c r="A27">
        <v>26</v>
      </c>
      <c r="B27">
        <v>26</v>
      </c>
      <c r="C27" t="s">
        <v>70</v>
      </c>
      <c r="D27" t="s">
        <v>71</v>
      </c>
      <c r="E27">
        <v>5</v>
      </c>
      <c r="F27">
        <v>43</v>
      </c>
      <c r="G27">
        <v>11</v>
      </c>
      <c r="H27">
        <v>10</v>
      </c>
      <c r="I27">
        <v>32</v>
      </c>
      <c r="J27">
        <v>0</v>
      </c>
      <c r="K27">
        <v>0</v>
      </c>
      <c r="L27">
        <v>2</v>
      </c>
      <c r="M27">
        <v>0</v>
      </c>
      <c r="N27">
        <v>4</v>
      </c>
      <c r="O27">
        <v>0</v>
      </c>
      <c r="P27">
        <v>6</v>
      </c>
      <c r="Q27">
        <v>0</v>
      </c>
      <c r="R27">
        <v>1</v>
      </c>
      <c r="S27">
        <v>4</v>
      </c>
      <c r="T27" t="s">
        <v>56</v>
      </c>
      <c r="U27" t="s">
        <v>20</v>
      </c>
      <c r="V27">
        <v>2</v>
      </c>
      <c r="W27">
        <v>3</v>
      </c>
      <c r="X27">
        <v>0</v>
      </c>
      <c r="Y27">
        <v>5</v>
      </c>
      <c r="AA27">
        <v>5</v>
      </c>
      <c r="AB27">
        <v>6</v>
      </c>
    </row>
    <row r="28" spans="1:28" x14ac:dyDescent="0.4">
      <c r="A28">
        <v>27</v>
      </c>
      <c r="B28">
        <v>27</v>
      </c>
      <c r="C28" t="s">
        <v>72</v>
      </c>
      <c r="D28" t="s">
        <v>73</v>
      </c>
      <c r="E28">
        <v>5</v>
      </c>
      <c r="F28">
        <v>8</v>
      </c>
      <c r="G28">
        <v>12</v>
      </c>
      <c r="H28">
        <v>11</v>
      </c>
      <c r="I28">
        <v>0</v>
      </c>
      <c r="J28">
        <v>0</v>
      </c>
      <c r="K28">
        <v>0</v>
      </c>
      <c r="L28">
        <v>2</v>
      </c>
      <c r="M28">
        <v>0</v>
      </c>
      <c r="N28">
        <v>0</v>
      </c>
      <c r="O28">
        <v>0</v>
      </c>
      <c r="P28">
        <v>3</v>
      </c>
      <c r="Q28">
        <v>0</v>
      </c>
      <c r="R28">
        <v>1</v>
      </c>
      <c r="S28">
        <v>0</v>
      </c>
      <c r="T28" t="s">
        <v>56</v>
      </c>
      <c r="U28" t="s">
        <v>20</v>
      </c>
      <c r="V28">
        <v>0</v>
      </c>
      <c r="W28">
        <v>0</v>
      </c>
      <c r="X28">
        <v>10</v>
      </c>
      <c r="Y28">
        <v>10</v>
      </c>
      <c r="AA28">
        <v>0</v>
      </c>
      <c r="AB28">
        <v>0</v>
      </c>
    </row>
    <row r="29" spans="1:28" x14ac:dyDescent="0.4">
      <c r="A29">
        <v>28</v>
      </c>
      <c r="B29">
        <v>28</v>
      </c>
      <c r="C29" t="s">
        <v>72</v>
      </c>
      <c r="D29" t="s">
        <v>74</v>
      </c>
      <c r="E29">
        <v>5</v>
      </c>
      <c r="F29">
        <v>8</v>
      </c>
      <c r="G29">
        <v>12</v>
      </c>
      <c r="H29">
        <v>11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5</v>
      </c>
      <c r="Q29">
        <v>0</v>
      </c>
      <c r="R29">
        <v>3</v>
      </c>
      <c r="S29">
        <v>0</v>
      </c>
      <c r="T29" t="s">
        <v>56</v>
      </c>
      <c r="U29" t="s">
        <v>20</v>
      </c>
      <c r="V29">
        <v>0</v>
      </c>
      <c r="W29">
        <v>0</v>
      </c>
      <c r="X29">
        <v>15</v>
      </c>
      <c r="Y29">
        <v>15</v>
      </c>
      <c r="AA29">
        <v>0</v>
      </c>
      <c r="AB29">
        <v>0</v>
      </c>
    </row>
    <row r="30" spans="1:28" x14ac:dyDescent="0.4">
      <c r="A30">
        <v>29</v>
      </c>
      <c r="B30">
        <v>29</v>
      </c>
      <c r="C30" t="s">
        <v>72</v>
      </c>
      <c r="D30" t="s">
        <v>75</v>
      </c>
      <c r="E30">
        <v>5</v>
      </c>
      <c r="F30">
        <v>8</v>
      </c>
      <c r="G30">
        <v>12</v>
      </c>
      <c r="H30">
        <v>11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7</v>
      </c>
      <c r="Q30">
        <v>0</v>
      </c>
      <c r="R30">
        <v>5</v>
      </c>
      <c r="S30">
        <v>0</v>
      </c>
      <c r="T30" t="s">
        <v>56</v>
      </c>
      <c r="U30" t="s">
        <v>45</v>
      </c>
      <c r="V30">
        <v>0</v>
      </c>
      <c r="W30">
        <v>0</v>
      </c>
      <c r="X30">
        <v>20</v>
      </c>
      <c r="Y30">
        <v>15</v>
      </c>
      <c r="AA30">
        <v>0</v>
      </c>
      <c r="AB30">
        <v>0</v>
      </c>
    </row>
    <row r="31" spans="1:28" x14ac:dyDescent="0.4">
      <c r="A31">
        <v>30</v>
      </c>
      <c r="B31">
        <v>30</v>
      </c>
      <c r="C31" t="s">
        <v>76</v>
      </c>
      <c r="D31" t="s">
        <v>77</v>
      </c>
      <c r="E31">
        <v>5</v>
      </c>
      <c r="F31">
        <v>8</v>
      </c>
      <c r="G31">
        <v>13</v>
      </c>
      <c r="H31">
        <v>11</v>
      </c>
      <c r="I31">
        <v>0</v>
      </c>
      <c r="J31">
        <v>0</v>
      </c>
      <c r="K31">
        <v>0</v>
      </c>
      <c r="L31">
        <v>4</v>
      </c>
      <c r="M31">
        <v>0</v>
      </c>
      <c r="N31">
        <v>0</v>
      </c>
      <c r="O31">
        <v>0</v>
      </c>
      <c r="P31">
        <v>4</v>
      </c>
      <c r="Q31">
        <v>0</v>
      </c>
      <c r="R31">
        <v>2</v>
      </c>
      <c r="S31">
        <v>0</v>
      </c>
      <c r="T31" t="s">
        <v>56</v>
      </c>
      <c r="U31" t="s">
        <v>45</v>
      </c>
      <c r="V31">
        <v>0</v>
      </c>
      <c r="W31">
        <v>0</v>
      </c>
      <c r="X31">
        <v>20</v>
      </c>
      <c r="Y31">
        <v>20</v>
      </c>
      <c r="AA31">
        <v>0</v>
      </c>
      <c r="AB31">
        <v>0</v>
      </c>
    </row>
    <row r="32" spans="1:28" x14ac:dyDescent="0.4">
      <c r="A32">
        <v>31</v>
      </c>
      <c r="B32">
        <v>31</v>
      </c>
      <c r="C32" t="s">
        <v>76</v>
      </c>
      <c r="D32" t="s">
        <v>78</v>
      </c>
      <c r="E32">
        <v>5</v>
      </c>
      <c r="F32">
        <v>8</v>
      </c>
      <c r="G32">
        <v>13</v>
      </c>
      <c r="H32">
        <v>11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10</v>
      </c>
      <c r="Q32">
        <v>0</v>
      </c>
      <c r="R32">
        <v>8</v>
      </c>
      <c r="S32">
        <v>0</v>
      </c>
      <c r="T32" t="s">
        <v>56</v>
      </c>
      <c r="U32" t="s">
        <v>64</v>
      </c>
      <c r="V32">
        <v>0</v>
      </c>
      <c r="W32">
        <v>0</v>
      </c>
      <c r="X32">
        <v>20</v>
      </c>
      <c r="Y32">
        <v>25</v>
      </c>
      <c r="AA32">
        <v>0</v>
      </c>
      <c r="AB32">
        <v>0</v>
      </c>
    </row>
    <row r="33" spans="1:28" x14ac:dyDescent="0.4">
      <c r="A33">
        <v>32</v>
      </c>
      <c r="B33">
        <v>32</v>
      </c>
      <c r="C33" t="s">
        <v>76</v>
      </c>
      <c r="D33" t="s">
        <v>79</v>
      </c>
      <c r="E33">
        <v>5</v>
      </c>
      <c r="F33">
        <v>8</v>
      </c>
      <c r="G33">
        <v>13</v>
      </c>
      <c r="H33">
        <v>11</v>
      </c>
      <c r="I33">
        <v>0</v>
      </c>
      <c r="J33">
        <v>0</v>
      </c>
      <c r="K33">
        <v>0</v>
      </c>
      <c r="L33">
        <v>6</v>
      </c>
      <c r="M33">
        <v>0</v>
      </c>
      <c r="N33">
        <v>0</v>
      </c>
      <c r="O33">
        <v>0</v>
      </c>
      <c r="P33">
        <v>5</v>
      </c>
      <c r="Q33">
        <v>0</v>
      </c>
      <c r="R33">
        <v>4</v>
      </c>
      <c r="S33">
        <v>0</v>
      </c>
      <c r="T33" t="s">
        <v>56</v>
      </c>
      <c r="U33" t="s">
        <v>80</v>
      </c>
      <c r="V33">
        <v>0</v>
      </c>
      <c r="W33">
        <v>0</v>
      </c>
      <c r="X33">
        <v>25</v>
      </c>
      <c r="Y33">
        <v>25</v>
      </c>
      <c r="AA33">
        <v>0</v>
      </c>
      <c r="AB33">
        <v>0</v>
      </c>
    </row>
    <row r="34" spans="1:28" x14ac:dyDescent="0.4">
      <c r="A34">
        <v>33</v>
      </c>
      <c r="B34">
        <v>33</v>
      </c>
      <c r="C34" t="s">
        <v>81</v>
      </c>
      <c r="D34" t="s">
        <v>82</v>
      </c>
      <c r="E34">
        <v>6</v>
      </c>
      <c r="F34">
        <v>31</v>
      </c>
      <c r="G34">
        <v>17</v>
      </c>
      <c r="H34">
        <v>19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6</v>
      </c>
      <c r="P34">
        <v>0</v>
      </c>
      <c r="Q34">
        <v>0</v>
      </c>
      <c r="R34">
        <v>0</v>
      </c>
      <c r="S34">
        <v>0</v>
      </c>
      <c r="T34" t="s">
        <v>56</v>
      </c>
      <c r="U34" t="s">
        <v>31</v>
      </c>
      <c r="V34">
        <v>10</v>
      </c>
      <c r="W34">
        <v>0</v>
      </c>
      <c r="X34">
        <v>10</v>
      </c>
      <c r="Y34">
        <v>0</v>
      </c>
      <c r="AA34">
        <v>0</v>
      </c>
      <c r="AB34">
        <v>0</v>
      </c>
    </row>
    <row r="35" spans="1:28" x14ac:dyDescent="0.4">
      <c r="A35">
        <v>34</v>
      </c>
      <c r="B35">
        <v>34</v>
      </c>
      <c r="C35" t="s">
        <v>81</v>
      </c>
      <c r="D35" t="s">
        <v>83</v>
      </c>
      <c r="E35">
        <v>6</v>
      </c>
      <c r="F35">
        <v>31</v>
      </c>
      <c r="G35">
        <v>17</v>
      </c>
      <c r="H35">
        <v>19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 t="s">
        <v>56</v>
      </c>
      <c r="U35" t="s">
        <v>20</v>
      </c>
      <c r="V35">
        <v>10</v>
      </c>
      <c r="W35">
        <v>0</v>
      </c>
      <c r="X35">
        <v>20</v>
      </c>
      <c r="Y35">
        <v>0</v>
      </c>
      <c r="AA35">
        <v>0</v>
      </c>
      <c r="AB35">
        <v>0</v>
      </c>
    </row>
    <row r="36" spans="1:28" x14ac:dyDescent="0.4">
      <c r="A36">
        <v>35</v>
      </c>
      <c r="B36">
        <v>35</v>
      </c>
      <c r="C36" t="s">
        <v>84</v>
      </c>
      <c r="D36" t="s">
        <v>85</v>
      </c>
      <c r="E36">
        <v>4</v>
      </c>
      <c r="F36">
        <v>28</v>
      </c>
      <c r="G36">
        <v>18</v>
      </c>
      <c r="H36">
        <v>12</v>
      </c>
      <c r="I36">
        <v>0</v>
      </c>
      <c r="J36">
        <v>0</v>
      </c>
      <c r="K36">
        <v>0</v>
      </c>
      <c r="L36">
        <v>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 t="s">
        <v>56</v>
      </c>
      <c r="U36" t="s">
        <v>31</v>
      </c>
      <c r="V36">
        <v>0</v>
      </c>
      <c r="W36">
        <v>9</v>
      </c>
      <c r="X36">
        <v>6</v>
      </c>
      <c r="Y36">
        <v>3</v>
      </c>
      <c r="AA36">
        <v>0</v>
      </c>
      <c r="AB36">
        <v>0</v>
      </c>
    </row>
    <row r="37" spans="1:28" x14ac:dyDescent="0.4">
      <c r="A37">
        <v>36</v>
      </c>
      <c r="B37">
        <v>36</v>
      </c>
      <c r="C37" t="s">
        <v>86</v>
      </c>
      <c r="D37" t="s">
        <v>87</v>
      </c>
      <c r="E37">
        <v>4</v>
      </c>
      <c r="F37">
        <v>25</v>
      </c>
      <c r="G37">
        <v>19</v>
      </c>
      <c r="H37">
        <v>13</v>
      </c>
      <c r="I37">
        <v>0</v>
      </c>
      <c r="J37">
        <v>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0</v>
      </c>
      <c r="T37" t="s">
        <v>56</v>
      </c>
      <c r="U37" t="s">
        <v>20</v>
      </c>
      <c r="V37">
        <v>0</v>
      </c>
      <c r="W37">
        <v>3</v>
      </c>
      <c r="X37">
        <v>9</v>
      </c>
      <c r="Y37">
        <v>0</v>
      </c>
      <c r="AA37">
        <v>0</v>
      </c>
      <c r="AB37">
        <v>0</v>
      </c>
    </row>
    <row r="38" spans="1:28" x14ac:dyDescent="0.4">
      <c r="A38">
        <v>37</v>
      </c>
      <c r="B38">
        <v>37</v>
      </c>
      <c r="C38" t="s">
        <v>88</v>
      </c>
      <c r="D38" t="s">
        <v>89</v>
      </c>
      <c r="E38">
        <v>4</v>
      </c>
      <c r="F38">
        <v>6</v>
      </c>
      <c r="G38">
        <v>21</v>
      </c>
      <c r="H38">
        <v>15</v>
      </c>
      <c r="I38">
        <v>0</v>
      </c>
      <c r="J38">
        <v>0</v>
      </c>
      <c r="K38">
        <v>0</v>
      </c>
      <c r="L38">
        <v>2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 t="s">
        <v>56</v>
      </c>
      <c r="U38" t="s">
        <v>31</v>
      </c>
      <c r="V38">
        <v>0</v>
      </c>
      <c r="W38">
        <v>1</v>
      </c>
      <c r="X38">
        <v>1</v>
      </c>
      <c r="Y38">
        <v>0</v>
      </c>
      <c r="AA38">
        <v>0</v>
      </c>
      <c r="AB38">
        <v>0</v>
      </c>
    </row>
    <row r="39" spans="1:28" x14ac:dyDescent="0.4">
      <c r="A39">
        <v>38</v>
      </c>
      <c r="B39">
        <v>38</v>
      </c>
      <c r="C39" t="s">
        <v>88</v>
      </c>
      <c r="D39" t="s">
        <v>90</v>
      </c>
      <c r="E39">
        <v>4</v>
      </c>
      <c r="F39">
        <v>6</v>
      </c>
      <c r="G39">
        <v>21</v>
      </c>
      <c r="H39">
        <v>15</v>
      </c>
      <c r="I39">
        <v>0</v>
      </c>
      <c r="J39">
        <v>0</v>
      </c>
      <c r="K39">
        <v>0</v>
      </c>
      <c r="L39">
        <v>3</v>
      </c>
      <c r="M39">
        <v>0</v>
      </c>
      <c r="N39">
        <v>0</v>
      </c>
      <c r="O39">
        <v>1</v>
      </c>
      <c r="P39">
        <v>0</v>
      </c>
      <c r="Q39">
        <v>0</v>
      </c>
      <c r="R39">
        <v>0</v>
      </c>
      <c r="S39">
        <v>0</v>
      </c>
      <c r="T39" t="s">
        <v>56</v>
      </c>
      <c r="U39" t="s">
        <v>31</v>
      </c>
      <c r="V39">
        <v>0</v>
      </c>
      <c r="W39">
        <v>1</v>
      </c>
      <c r="X39">
        <v>1</v>
      </c>
      <c r="Y39">
        <v>0</v>
      </c>
      <c r="AA39">
        <v>0</v>
      </c>
      <c r="AB39">
        <v>0</v>
      </c>
    </row>
    <row r="40" spans="1:28" x14ac:dyDescent="0.4">
      <c r="A40">
        <v>39</v>
      </c>
      <c r="B40">
        <v>39</v>
      </c>
      <c r="C40" t="s">
        <v>88</v>
      </c>
      <c r="D40" t="s">
        <v>91</v>
      </c>
      <c r="E40">
        <v>4</v>
      </c>
      <c r="F40">
        <v>6</v>
      </c>
      <c r="G40">
        <v>21</v>
      </c>
      <c r="H40">
        <v>15</v>
      </c>
      <c r="I40">
        <v>0</v>
      </c>
      <c r="J40">
        <v>0</v>
      </c>
      <c r="K40">
        <v>0</v>
      </c>
      <c r="L40">
        <v>5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 t="s">
        <v>56</v>
      </c>
      <c r="U40" t="s">
        <v>31</v>
      </c>
      <c r="V40">
        <v>0</v>
      </c>
      <c r="W40">
        <v>2</v>
      </c>
      <c r="X40">
        <v>1</v>
      </c>
      <c r="Y40">
        <v>0</v>
      </c>
      <c r="AA40">
        <v>0</v>
      </c>
      <c r="AB40">
        <v>0</v>
      </c>
    </row>
    <row r="41" spans="1:28" x14ac:dyDescent="0.4">
      <c r="A41">
        <v>40</v>
      </c>
      <c r="B41">
        <v>40</v>
      </c>
      <c r="C41" t="s">
        <v>88</v>
      </c>
      <c r="D41" t="s">
        <v>92</v>
      </c>
      <c r="E41">
        <v>4</v>
      </c>
      <c r="F41">
        <v>6</v>
      </c>
      <c r="G41">
        <v>21</v>
      </c>
      <c r="H41">
        <v>15</v>
      </c>
      <c r="I41">
        <v>0</v>
      </c>
      <c r="J41">
        <v>0</v>
      </c>
      <c r="K41">
        <v>0</v>
      </c>
      <c r="L41">
        <v>6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 t="s">
        <v>56</v>
      </c>
      <c r="U41" t="s">
        <v>20</v>
      </c>
      <c r="V41">
        <v>0</v>
      </c>
      <c r="W41">
        <v>3</v>
      </c>
      <c r="X41">
        <v>1</v>
      </c>
      <c r="Y41">
        <v>0</v>
      </c>
      <c r="AA41">
        <v>0</v>
      </c>
      <c r="AB41">
        <v>0</v>
      </c>
    </row>
    <row r="42" spans="1:28" x14ac:dyDescent="0.4">
      <c r="A42">
        <v>41</v>
      </c>
      <c r="B42">
        <v>41</v>
      </c>
      <c r="C42" t="s">
        <v>93</v>
      </c>
      <c r="D42" t="s">
        <v>94</v>
      </c>
      <c r="E42">
        <v>2</v>
      </c>
      <c r="F42">
        <v>4</v>
      </c>
      <c r="G42">
        <v>22</v>
      </c>
      <c r="H42">
        <v>5</v>
      </c>
      <c r="I42">
        <v>0</v>
      </c>
      <c r="J42">
        <v>0</v>
      </c>
      <c r="K42">
        <v>12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 t="s">
        <v>56</v>
      </c>
      <c r="U42" t="s">
        <v>20</v>
      </c>
      <c r="V42">
        <v>0</v>
      </c>
      <c r="W42">
        <v>7</v>
      </c>
      <c r="X42">
        <v>7</v>
      </c>
      <c r="Y42">
        <v>0</v>
      </c>
      <c r="AA42">
        <v>0</v>
      </c>
      <c r="AB42">
        <v>0</v>
      </c>
    </row>
    <row r="43" spans="1:28" x14ac:dyDescent="0.4">
      <c r="A43">
        <v>42</v>
      </c>
      <c r="B43">
        <v>42</v>
      </c>
      <c r="C43" t="s">
        <v>95</v>
      </c>
      <c r="D43" t="s">
        <v>95</v>
      </c>
      <c r="E43">
        <v>6</v>
      </c>
      <c r="F43">
        <v>30</v>
      </c>
      <c r="G43">
        <v>23</v>
      </c>
      <c r="H43">
        <v>14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 t="s">
        <v>56</v>
      </c>
      <c r="U43" t="s">
        <v>31</v>
      </c>
      <c r="V43">
        <v>0</v>
      </c>
      <c r="W43">
        <v>0</v>
      </c>
      <c r="X43">
        <v>1</v>
      </c>
      <c r="Y43">
        <v>0</v>
      </c>
      <c r="AA43">
        <v>0</v>
      </c>
      <c r="AB43">
        <v>0</v>
      </c>
    </row>
    <row r="44" spans="1:28" x14ac:dyDescent="0.4">
      <c r="A44">
        <v>43</v>
      </c>
      <c r="B44">
        <v>43</v>
      </c>
      <c r="C44" t="s">
        <v>95</v>
      </c>
      <c r="D44" t="s">
        <v>96</v>
      </c>
      <c r="E44">
        <v>6</v>
      </c>
      <c r="F44">
        <v>30</v>
      </c>
      <c r="G44">
        <v>23</v>
      </c>
      <c r="H44">
        <v>14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t="s">
        <v>56</v>
      </c>
      <c r="U44" t="s">
        <v>45</v>
      </c>
      <c r="V44">
        <v>0</v>
      </c>
      <c r="W44">
        <v>0</v>
      </c>
      <c r="X44">
        <v>1</v>
      </c>
      <c r="Y44">
        <v>0</v>
      </c>
      <c r="AA44">
        <v>0</v>
      </c>
      <c r="AB44">
        <v>0</v>
      </c>
    </row>
    <row r="45" spans="1:28" x14ac:dyDescent="0.4">
      <c r="A45">
        <v>44</v>
      </c>
      <c r="B45">
        <v>44</v>
      </c>
      <c r="C45" t="s">
        <v>97</v>
      </c>
      <c r="D45" t="s">
        <v>98</v>
      </c>
      <c r="E45">
        <v>7</v>
      </c>
      <c r="F45">
        <v>32</v>
      </c>
      <c r="G45">
        <v>15</v>
      </c>
      <c r="H45">
        <v>17</v>
      </c>
      <c r="I45">
        <v>0</v>
      </c>
      <c r="J45">
        <v>0</v>
      </c>
      <c r="K45">
        <v>0</v>
      </c>
      <c r="L45">
        <v>0</v>
      </c>
      <c r="M45">
        <v>0</v>
      </c>
      <c r="N45">
        <v>5</v>
      </c>
      <c r="O45">
        <v>0</v>
      </c>
      <c r="P45">
        <v>0</v>
      </c>
      <c r="Q45">
        <v>0</v>
      </c>
      <c r="R45">
        <v>0</v>
      </c>
      <c r="S45">
        <v>0</v>
      </c>
      <c r="T45" t="s">
        <v>56</v>
      </c>
      <c r="U45" t="s">
        <v>31</v>
      </c>
      <c r="V45">
        <v>0</v>
      </c>
      <c r="W45">
        <v>2</v>
      </c>
      <c r="X45">
        <v>1</v>
      </c>
      <c r="Y45">
        <v>1</v>
      </c>
      <c r="AA45">
        <v>0</v>
      </c>
      <c r="AB45">
        <v>0</v>
      </c>
    </row>
    <row r="46" spans="1:28" x14ac:dyDescent="0.4">
      <c r="A46">
        <v>45</v>
      </c>
      <c r="B46">
        <v>45</v>
      </c>
      <c r="C46" t="s">
        <v>97</v>
      </c>
      <c r="D46" t="s">
        <v>99</v>
      </c>
      <c r="E46">
        <v>7</v>
      </c>
      <c r="F46">
        <v>32</v>
      </c>
      <c r="G46">
        <v>15</v>
      </c>
      <c r="H46">
        <v>17</v>
      </c>
      <c r="I46">
        <v>0</v>
      </c>
      <c r="J46">
        <v>0</v>
      </c>
      <c r="K46">
        <v>0</v>
      </c>
      <c r="L46">
        <v>0</v>
      </c>
      <c r="M46">
        <v>0</v>
      </c>
      <c r="N46">
        <v>8</v>
      </c>
      <c r="O46">
        <v>0</v>
      </c>
      <c r="P46">
        <v>0</v>
      </c>
      <c r="Q46">
        <v>0</v>
      </c>
      <c r="R46">
        <v>0</v>
      </c>
      <c r="S46">
        <v>0</v>
      </c>
      <c r="T46" t="s">
        <v>56</v>
      </c>
      <c r="U46" t="s">
        <v>45</v>
      </c>
      <c r="V46">
        <v>0</v>
      </c>
      <c r="W46">
        <v>3</v>
      </c>
      <c r="X46">
        <v>1</v>
      </c>
      <c r="Y46">
        <v>1</v>
      </c>
      <c r="AA46">
        <v>0</v>
      </c>
      <c r="AB46">
        <v>0</v>
      </c>
    </row>
    <row r="47" spans="1:28" x14ac:dyDescent="0.4">
      <c r="A47">
        <v>46</v>
      </c>
      <c r="B47">
        <v>46</v>
      </c>
      <c r="C47" t="s">
        <v>100</v>
      </c>
      <c r="D47" t="s">
        <v>101</v>
      </c>
      <c r="E47">
        <v>7</v>
      </c>
      <c r="F47">
        <v>10</v>
      </c>
      <c r="G47">
        <v>14</v>
      </c>
      <c r="H47">
        <v>18</v>
      </c>
      <c r="I47">
        <v>0</v>
      </c>
      <c r="J47">
        <v>0</v>
      </c>
      <c r="K47">
        <v>0</v>
      </c>
      <c r="L47">
        <v>0</v>
      </c>
      <c r="M47">
        <v>0</v>
      </c>
      <c r="N47">
        <v>6</v>
      </c>
      <c r="O47">
        <v>0</v>
      </c>
      <c r="P47">
        <v>0</v>
      </c>
      <c r="Q47">
        <v>0</v>
      </c>
      <c r="R47">
        <v>1</v>
      </c>
      <c r="S47">
        <v>0</v>
      </c>
      <c r="T47" t="s">
        <v>56</v>
      </c>
      <c r="U47" t="s">
        <v>31</v>
      </c>
      <c r="V47">
        <v>0</v>
      </c>
      <c r="W47">
        <v>0</v>
      </c>
      <c r="X47">
        <v>1</v>
      </c>
      <c r="Y47">
        <v>1</v>
      </c>
      <c r="AA47">
        <v>0</v>
      </c>
      <c r="AB47">
        <v>0</v>
      </c>
    </row>
    <row r="48" spans="1:28" x14ac:dyDescent="0.4">
      <c r="A48">
        <v>47</v>
      </c>
      <c r="B48">
        <v>47</v>
      </c>
      <c r="C48" t="s">
        <v>100</v>
      </c>
      <c r="D48" t="s">
        <v>102</v>
      </c>
      <c r="E48">
        <v>7</v>
      </c>
      <c r="F48">
        <v>10</v>
      </c>
      <c r="G48">
        <v>14</v>
      </c>
      <c r="H48">
        <v>18</v>
      </c>
      <c r="I48">
        <v>0</v>
      </c>
      <c r="J48">
        <v>0</v>
      </c>
      <c r="K48">
        <v>0</v>
      </c>
      <c r="L48">
        <v>0</v>
      </c>
      <c r="M48">
        <v>0</v>
      </c>
      <c r="N48">
        <v>10</v>
      </c>
      <c r="O48">
        <v>0</v>
      </c>
      <c r="P48">
        <v>0</v>
      </c>
      <c r="Q48">
        <v>0</v>
      </c>
      <c r="R48">
        <v>2</v>
      </c>
      <c r="S48">
        <v>0</v>
      </c>
      <c r="T48" t="s">
        <v>56</v>
      </c>
      <c r="U48" t="s">
        <v>45</v>
      </c>
      <c r="V48">
        <v>0</v>
      </c>
      <c r="W48">
        <v>0</v>
      </c>
      <c r="X48">
        <v>1</v>
      </c>
      <c r="Y48">
        <v>2</v>
      </c>
      <c r="AA48">
        <v>0</v>
      </c>
      <c r="AB48">
        <v>0</v>
      </c>
    </row>
    <row r="49" spans="1:28" x14ac:dyDescent="0.4">
      <c r="A49">
        <v>48</v>
      </c>
      <c r="B49">
        <v>48</v>
      </c>
      <c r="C49" t="s">
        <v>28</v>
      </c>
      <c r="D49" t="s">
        <v>103</v>
      </c>
      <c r="E49">
        <v>1</v>
      </c>
      <c r="F49">
        <v>1</v>
      </c>
      <c r="G49">
        <v>1</v>
      </c>
      <c r="H49">
        <v>16</v>
      </c>
      <c r="I49">
        <v>0</v>
      </c>
      <c r="J49">
        <v>1</v>
      </c>
      <c r="K49">
        <v>0</v>
      </c>
      <c r="L49">
        <v>3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 t="s">
        <v>30</v>
      </c>
      <c r="U49" t="s">
        <v>31</v>
      </c>
      <c r="V49">
        <v>0</v>
      </c>
      <c r="W49">
        <v>1</v>
      </c>
      <c r="X49">
        <v>1</v>
      </c>
      <c r="Y49">
        <v>0</v>
      </c>
      <c r="AA49">
        <v>0</v>
      </c>
      <c r="AB49">
        <v>0</v>
      </c>
    </row>
    <row r="50" spans="1:28" x14ac:dyDescent="0.4">
      <c r="A50">
        <v>49</v>
      </c>
      <c r="B50">
        <v>49</v>
      </c>
      <c r="C50" t="s">
        <v>88</v>
      </c>
      <c r="D50" t="s">
        <v>104</v>
      </c>
      <c r="E50">
        <v>4</v>
      </c>
      <c r="F50">
        <v>6</v>
      </c>
      <c r="G50">
        <v>21</v>
      </c>
      <c r="H50">
        <v>15</v>
      </c>
      <c r="I50">
        <v>0</v>
      </c>
      <c r="J50">
        <v>0</v>
      </c>
      <c r="K50">
        <v>0</v>
      </c>
      <c r="L50">
        <v>4</v>
      </c>
      <c r="M50">
        <v>0</v>
      </c>
      <c r="N50">
        <v>0</v>
      </c>
      <c r="O50">
        <v>1</v>
      </c>
      <c r="P50">
        <v>0</v>
      </c>
      <c r="Q50">
        <v>0</v>
      </c>
      <c r="R50">
        <v>0</v>
      </c>
      <c r="S50">
        <v>0</v>
      </c>
      <c r="T50" t="s">
        <v>56</v>
      </c>
      <c r="U50" t="s">
        <v>20</v>
      </c>
      <c r="V50">
        <v>0</v>
      </c>
      <c r="W50">
        <v>1</v>
      </c>
      <c r="X50">
        <v>1</v>
      </c>
      <c r="Y50">
        <v>0</v>
      </c>
      <c r="AA50">
        <v>0</v>
      </c>
      <c r="AB50">
        <v>0</v>
      </c>
    </row>
    <row r="51" spans="1:28" x14ac:dyDescent="0.4">
      <c r="A51">
        <v>50</v>
      </c>
      <c r="B51">
        <v>50</v>
      </c>
      <c r="C51" t="s">
        <v>34</v>
      </c>
      <c r="D51" t="s">
        <v>105</v>
      </c>
      <c r="E51">
        <v>1</v>
      </c>
      <c r="F51">
        <v>1</v>
      </c>
      <c r="G51">
        <v>2</v>
      </c>
      <c r="H51">
        <v>2</v>
      </c>
      <c r="I51">
        <v>0</v>
      </c>
      <c r="J51">
        <v>10</v>
      </c>
      <c r="K51">
        <v>0</v>
      </c>
      <c r="L51">
        <v>4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0</v>
      </c>
      <c r="T51" t="s">
        <v>36</v>
      </c>
      <c r="U51" t="s">
        <v>20</v>
      </c>
      <c r="V51">
        <v>0</v>
      </c>
      <c r="W51">
        <v>3</v>
      </c>
      <c r="X51">
        <v>4</v>
      </c>
      <c r="Y51">
        <v>0</v>
      </c>
      <c r="AA51">
        <v>0</v>
      </c>
      <c r="AB51">
        <v>0</v>
      </c>
    </row>
    <row r="52" spans="1:28" x14ac:dyDescent="0.4">
      <c r="A52">
        <v>51</v>
      </c>
      <c r="B52">
        <v>51</v>
      </c>
      <c r="C52" t="s">
        <v>88</v>
      </c>
      <c r="D52" t="s">
        <v>106</v>
      </c>
      <c r="E52">
        <v>4</v>
      </c>
      <c r="F52">
        <v>29</v>
      </c>
      <c r="G52">
        <v>21</v>
      </c>
      <c r="H52">
        <v>15</v>
      </c>
      <c r="I52">
        <v>0</v>
      </c>
      <c r="J52">
        <v>0</v>
      </c>
      <c r="K52">
        <v>0</v>
      </c>
      <c r="L52">
        <v>8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 t="s">
        <v>56</v>
      </c>
      <c r="U52" t="s">
        <v>45</v>
      </c>
      <c r="V52">
        <v>0</v>
      </c>
      <c r="W52">
        <v>4</v>
      </c>
      <c r="X52">
        <v>2</v>
      </c>
      <c r="Y52">
        <v>2</v>
      </c>
      <c r="AA52">
        <v>0</v>
      </c>
      <c r="AB52">
        <v>0</v>
      </c>
    </row>
    <row r="53" spans="1:28" x14ac:dyDescent="0.4">
      <c r="A53">
        <v>52</v>
      </c>
      <c r="B53">
        <v>52</v>
      </c>
      <c r="C53" t="s">
        <v>54</v>
      </c>
      <c r="D53" t="s">
        <v>107</v>
      </c>
      <c r="E53">
        <v>3</v>
      </c>
      <c r="F53">
        <v>5</v>
      </c>
      <c r="G53">
        <v>8</v>
      </c>
      <c r="H53">
        <v>8</v>
      </c>
      <c r="I53">
        <v>33</v>
      </c>
      <c r="J53">
        <v>0</v>
      </c>
      <c r="K53">
        <v>13</v>
      </c>
      <c r="L53">
        <v>1</v>
      </c>
      <c r="M53">
        <v>0</v>
      </c>
      <c r="N53">
        <v>3</v>
      </c>
      <c r="O53">
        <v>0</v>
      </c>
      <c r="P53">
        <v>2</v>
      </c>
      <c r="Q53">
        <v>0</v>
      </c>
      <c r="R53">
        <v>0</v>
      </c>
      <c r="S53">
        <v>0</v>
      </c>
      <c r="T53" t="s">
        <v>56</v>
      </c>
      <c r="U53" t="s">
        <v>64</v>
      </c>
      <c r="V53">
        <v>2</v>
      </c>
      <c r="W53">
        <v>6</v>
      </c>
      <c r="X53">
        <v>0</v>
      </c>
      <c r="Y53">
        <v>10</v>
      </c>
      <c r="AA53">
        <v>6</v>
      </c>
      <c r="AB53">
        <v>8</v>
      </c>
    </row>
    <row r="54" spans="1:28" x14ac:dyDescent="0.4">
      <c r="A54">
        <v>53</v>
      </c>
      <c r="B54">
        <v>53</v>
      </c>
      <c r="C54" t="s">
        <v>59</v>
      </c>
      <c r="D54" t="s">
        <v>108</v>
      </c>
      <c r="E54">
        <v>3</v>
      </c>
      <c r="F54">
        <v>5</v>
      </c>
      <c r="G54">
        <v>6</v>
      </c>
      <c r="H54">
        <v>6</v>
      </c>
      <c r="I54">
        <v>13</v>
      </c>
      <c r="J54">
        <v>0</v>
      </c>
      <c r="K54">
        <v>0</v>
      </c>
      <c r="L54">
        <v>12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t="s">
        <v>56</v>
      </c>
      <c r="U54" t="s">
        <v>80</v>
      </c>
      <c r="V54">
        <v>2</v>
      </c>
      <c r="W54">
        <v>2</v>
      </c>
      <c r="X54">
        <v>0</v>
      </c>
      <c r="Y54">
        <v>10</v>
      </c>
      <c r="AA54">
        <v>5</v>
      </c>
      <c r="AB54">
        <v>8</v>
      </c>
    </row>
    <row r="55" spans="1:28" x14ac:dyDescent="0.4">
      <c r="A55">
        <v>54</v>
      </c>
      <c r="B55">
        <v>54</v>
      </c>
      <c r="C55" t="s">
        <v>109</v>
      </c>
      <c r="D55" t="s">
        <v>110</v>
      </c>
      <c r="E55">
        <v>5</v>
      </c>
      <c r="F55">
        <v>7</v>
      </c>
      <c r="G55">
        <v>9</v>
      </c>
      <c r="H55">
        <v>9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</v>
      </c>
      <c r="Q55">
        <v>0</v>
      </c>
      <c r="R55">
        <v>2</v>
      </c>
      <c r="S55">
        <v>0</v>
      </c>
      <c r="T55" t="s">
        <v>56</v>
      </c>
      <c r="U55" t="s">
        <v>45</v>
      </c>
      <c r="V55">
        <v>2</v>
      </c>
      <c r="W55">
        <v>0</v>
      </c>
      <c r="X55">
        <v>0</v>
      </c>
      <c r="Y55">
        <v>11</v>
      </c>
      <c r="AA55">
        <v>8</v>
      </c>
      <c r="AB55">
        <v>9</v>
      </c>
    </row>
    <row r="56" spans="1:28" x14ac:dyDescent="0.4">
      <c r="A56">
        <v>55</v>
      </c>
      <c r="B56">
        <v>55</v>
      </c>
      <c r="C56" t="s">
        <v>59</v>
      </c>
      <c r="D56" t="s">
        <v>111</v>
      </c>
      <c r="E56">
        <v>3</v>
      </c>
      <c r="F56">
        <v>5</v>
      </c>
      <c r="G56">
        <v>6</v>
      </c>
      <c r="H56">
        <v>6</v>
      </c>
      <c r="I56">
        <v>12</v>
      </c>
      <c r="J56">
        <v>0</v>
      </c>
      <c r="K56">
        <v>0</v>
      </c>
      <c r="L56">
        <v>9</v>
      </c>
      <c r="M56">
        <v>0</v>
      </c>
      <c r="N56">
        <v>0</v>
      </c>
      <c r="O56">
        <v>3</v>
      </c>
      <c r="P56">
        <v>0</v>
      </c>
      <c r="Q56">
        <v>0</v>
      </c>
      <c r="R56">
        <v>0</v>
      </c>
      <c r="S56">
        <v>0</v>
      </c>
      <c r="T56" t="s">
        <v>56</v>
      </c>
      <c r="U56" t="s">
        <v>45</v>
      </c>
      <c r="V56">
        <v>2</v>
      </c>
      <c r="W56">
        <v>2</v>
      </c>
      <c r="X56">
        <v>0</v>
      </c>
      <c r="Y56">
        <v>7</v>
      </c>
      <c r="AA56">
        <v>3</v>
      </c>
      <c r="AB56">
        <v>6</v>
      </c>
    </row>
    <row r="57" spans="1:28" x14ac:dyDescent="0.4">
      <c r="A57">
        <v>56</v>
      </c>
      <c r="B57">
        <v>56</v>
      </c>
      <c r="C57" t="s">
        <v>59</v>
      </c>
      <c r="D57" t="s">
        <v>112</v>
      </c>
      <c r="E57">
        <v>3</v>
      </c>
      <c r="F57">
        <v>5</v>
      </c>
      <c r="G57">
        <v>6</v>
      </c>
      <c r="H57">
        <v>6</v>
      </c>
      <c r="I57">
        <v>20</v>
      </c>
      <c r="J57">
        <v>0</v>
      </c>
      <c r="K57">
        <v>0</v>
      </c>
      <c r="L57">
        <v>15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t="s">
        <v>56</v>
      </c>
      <c r="U57" t="s">
        <v>113</v>
      </c>
      <c r="V57">
        <v>2</v>
      </c>
      <c r="W57">
        <v>3</v>
      </c>
      <c r="X57">
        <v>0</v>
      </c>
      <c r="Y57">
        <v>28</v>
      </c>
      <c r="AA57">
        <v>2</v>
      </c>
      <c r="AB57">
        <v>9</v>
      </c>
    </row>
    <row r="58" spans="1:28" x14ac:dyDescent="0.4">
      <c r="A58">
        <v>57</v>
      </c>
      <c r="B58">
        <v>57</v>
      </c>
      <c r="C58" t="s">
        <v>65</v>
      </c>
      <c r="D58" t="s">
        <v>114</v>
      </c>
      <c r="E58">
        <v>3</v>
      </c>
      <c r="F58">
        <v>5</v>
      </c>
      <c r="G58">
        <v>7</v>
      </c>
      <c r="H58">
        <v>7</v>
      </c>
      <c r="I58">
        <v>16</v>
      </c>
      <c r="J58">
        <v>0</v>
      </c>
      <c r="K58">
        <v>0</v>
      </c>
      <c r="L58">
        <v>0</v>
      </c>
      <c r="M58">
        <v>0</v>
      </c>
      <c r="N58">
        <v>3</v>
      </c>
      <c r="O58">
        <v>0</v>
      </c>
      <c r="P58">
        <v>1</v>
      </c>
      <c r="Q58">
        <v>0</v>
      </c>
      <c r="R58">
        <v>0</v>
      </c>
      <c r="S58">
        <v>10</v>
      </c>
      <c r="T58" t="s">
        <v>56</v>
      </c>
      <c r="U58" t="s">
        <v>45</v>
      </c>
      <c r="V58">
        <v>2</v>
      </c>
      <c r="W58">
        <v>3</v>
      </c>
      <c r="X58">
        <v>0</v>
      </c>
      <c r="Y58">
        <v>4</v>
      </c>
      <c r="AA58">
        <v>5</v>
      </c>
      <c r="AB58">
        <v>6</v>
      </c>
    </row>
    <row r="59" spans="1:28" x14ac:dyDescent="0.4">
      <c r="A59">
        <v>58</v>
      </c>
      <c r="B59">
        <v>58</v>
      </c>
      <c r="C59" t="s">
        <v>50</v>
      </c>
      <c r="D59" t="s">
        <v>115</v>
      </c>
      <c r="E59">
        <v>2</v>
      </c>
      <c r="F59">
        <v>3</v>
      </c>
      <c r="G59">
        <v>5</v>
      </c>
      <c r="H59">
        <v>5</v>
      </c>
      <c r="I59">
        <v>0</v>
      </c>
      <c r="J59">
        <v>0</v>
      </c>
      <c r="K59">
        <v>12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0</v>
      </c>
      <c r="T59" t="s">
        <v>30</v>
      </c>
      <c r="U59" t="s">
        <v>45</v>
      </c>
      <c r="V59">
        <v>2</v>
      </c>
      <c r="W59">
        <v>3</v>
      </c>
      <c r="X59">
        <v>2</v>
      </c>
      <c r="Y59">
        <v>0</v>
      </c>
      <c r="AA59">
        <v>0</v>
      </c>
      <c r="AB59">
        <v>0</v>
      </c>
    </row>
    <row r="60" spans="1:28" x14ac:dyDescent="0.4">
      <c r="A60">
        <v>59</v>
      </c>
      <c r="B60">
        <v>59</v>
      </c>
      <c r="C60" t="s">
        <v>68</v>
      </c>
      <c r="D60" t="s">
        <v>116</v>
      </c>
      <c r="E60">
        <v>5</v>
      </c>
      <c r="F60">
        <v>7</v>
      </c>
      <c r="G60">
        <v>10</v>
      </c>
      <c r="H60">
        <v>10</v>
      </c>
      <c r="I60">
        <v>2</v>
      </c>
      <c r="J60">
        <v>0</v>
      </c>
      <c r="K60">
        <v>0</v>
      </c>
      <c r="L60">
        <v>2</v>
      </c>
      <c r="M60">
        <v>0</v>
      </c>
      <c r="N60">
        <v>4</v>
      </c>
      <c r="O60">
        <v>0</v>
      </c>
      <c r="P60">
        <v>6</v>
      </c>
      <c r="Q60">
        <v>0</v>
      </c>
      <c r="R60">
        <v>2</v>
      </c>
      <c r="S60">
        <v>1</v>
      </c>
      <c r="T60" t="s">
        <v>56</v>
      </c>
      <c r="U60" t="s">
        <v>20</v>
      </c>
      <c r="V60">
        <v>1</v>
      </c>
      <c r="W60">
        <v>1</v>
      </c>
      <c r="X60">
        <v>0</v>
      </c>
      <c r="Y60">
        <v>2</v>
      </c>
      <c r="AA60">
        <v>3</v>
      </c>
      <c r="AB60">
        <v>6</v>
      </c>
    </row>
    <row r="61" spans="1:28" x14ac:dyDescent="0.4">
      <c r="A61">
        <v>60</v>
      </c>
      <c r="B61">
        <v>60</v>
      </c>
      <c r="C61" t="s">
        <v>65</v>
      </c>
      <c r="D61" t="s">
        <v>117</v>
      </c>
      <c r="E61">
        <v>3</v>
      </c>
      <c r="F61">
        <v>5</v>
      </c>
      <c r="G61">
        <v>7</v>
      </c>
      <c r="H61">
        <v>7</v>
      </c>
      <c r="I61">
        <v>12</v>
      </c>
      <c r="J61">
        <v>0</v>
      </c>
      <c r="K61">
        <v>0</v>
      </c>
      <c r="L61">
        <v>4</v>
      </c>
      <c r="M61">
        <v>0</v>
      </c>
      <c r="N61">
        <v>3</v>
      </c>
      <c r="O61">
        <v>0</v>
      </c>
      <c r="P61">
        <v>0</v>
      </c>
      <c r="Q61">
        <v>0</v>
      </c>
      <c r="R61">
        <v>0</v>
      </c>
      <c r="S61">
        <v>4</v>
      </c>
      <c r="T61" t="s">
        <v>56</v>
      </c>
      <c r="U61" t="s">
        <v>45</v>
      </c>
      <c r="V61">
        <v>1</v>
      </c>
      <c r="W61">
        <v>3</v>
      </c>
      <c r="X61">
        <v>0</v>
      </c>
      <c r="Y61">
        <v>3</v>
      </c>
      <c r="AA61">
        <v>4</v>
      </c>
      <c r="AB61">
        <v>5</v>
      </c>
    </row>
    <row r="62" spans="1:28" x14ac:dyDescent="0.4">
      <c r="A62">
        <v>61</v>
      </c>
      <c r="B62">
        <v>61</v>
      </c>
      <c r="C62" t="s">
        <v>109</v>
      </c>
      <c r="D62" t="s">
        <v>118</v>
      </c>
      <c r="E62">
        <v>5</v>
      </c>
      <c r="F62">
        <v>7</v>
      </c>
      <c r="G62">
        <v>9</v>
      </c>
      <c r="H62">
        <v>9</v>
      </c>
      <c r="I62">
        <v>1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7</v>
      </c>
      <c r="Q62">
        <v>0</v>
      </c>
      <c r="R62">
        <v>3</v>
      </c>
      <c r="S62">
        <v>0</v>
      </c>
      <c r="T62" t="s">
        <v>56</v>
      </c>
      <c r="U62" t="s">
        <v>20</v>
      </c>
      <c r="V62">
        <v>3</v>
      </c>
      <c r="W62">
        <v>1</v>
      </c>
      <c r="X62">
        <v>0</v>
      </c>
      <c r="Y62">
        <v>13</v>
      </c>
      <c r="AA62">
        <v>5</v>
      </c>
      <c r="AB62">
        <v>6</v>
      </c>
    </row>
    <row r="63" spans="1:28" x14ac:dyDescent="0.4">
      <c r="A63">
        <v>62</v>
      </c>
      <c r="B63">
        <v>62</v>
      </c>
      <c r="C63" t="s">
        <v>70</v>
      </c>
      <c r="D63" t="s">
        <v>119</v>
      </c>
      <c r="E63">
        <v>5</v>
      </c>
      <c r="F63">
        <v>43</v>
      </c>
      <c r="G63">
        <v>11</v>
      </c>
      <c r="H63">
        <v>10</v>
      </c>
      <c r="I63">
        <v>2</v>
      </c>
      <c r="J63">
        <v>0</v>
      </c>
      <c r="K63">
        <v>0</v>
      </c>
      <c r="L63">
        <v>0</v>
      </c>
      <c r="M63">
        <v>0</v>
      </c>
      <c r="N63">
        <v>6</v>
      </c>
      <c r="O63">
        <v>0</v>
      </c>
      <c r="P63">
        <v>6</v>
      </c>
      <c r="Q63">
        <v>0</v>
      </c>
      <c r="R63">
        <v>1</v>
      </c>
      <c r="S63">
        <v>11</v>
      </c>
      <c r="T63" t="s">
        <v>56</v>
      </c>
      <c r="U63" t="s">
        <v>80</v>
      </c>
      <c r="V63">
        <v>4</v>
      </c>
      <c r="W63">
        <v>5</v>
      </c>
      <c r="X63">
        <v>0</v>
      </c>
      <c r="Y63">
        <v>20</v>
      </c>
      <c r="AA63">
        <v>4</v>
      </c>
      <c r="AB63">
        <v>10</v>
      </c>
    </row>
    <row r="64" spans="1:28" x14ac:dyDescent="0.4">
      <c r="A64">
        <v>63</v>
      </c>
      <c r="B64">
        <v>63</v>
      </c>
      <c r="C64" t="s">
        <v>28</v>
      </c>
      <c r="D64" t="s">
        <v>120</v>
      </c>
      <c r="E64">
        <v>1</v>
      </c>
      <c r="F64">
        <v>1</v>
      </c>
      <c r="G64">
        <v>1</v>
      </c>
      <c r="H64">
        <v>1</v>
      </c>
      <c r="I64">
        <v>0</v>
      </c>
      <c r="J64">
        <v>3</v>
      </c>
      <c r="K64">
        <v>0</v>
      </c>
      <c r="L64">
        <v>2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 t="s">
        <v>30</v>
      </c>
      <c r="U64" t="s">
        <v>20</v>
      </c>
      <c r="V64">
        <v>0</v>
      </c>
      <c r="W64">
        <v>1</v>
      </c>
      <c r="X64">
        <v>2</v>
      </c>
      <c r="Y64">
        <v>0</v>
      </c>
      <c r="AA64">
        <v>0</v>
      </c>
      <c r="AB64">
        <v>0</v>
      </c>
    </row>
    <row r="65" spans="1:28" x14ac:dyDescent="0.4">
      <c r="A65">
        <v>64</v>
      </c>
      <c r="B65">
        <v>64</v>
      </c>
      <c r="C65" t="s">
        <v>65</v>
      </c>
      <c r="D65" t="s">
        <v>121</v>
      </c>
      <c r="E65">
        <v>3</v>
      </c>
      <c r="F65">
        <v>5</v>
      </c>
      <c r="G65">
        <v>7</v>
      </c>
      <c r="H65">
        <v>7</v>
      </c>
      <c r="I65">
        <v>14</v>
      </c>
      <c r="J65">
        <v>0</v>
      </c>
      <c r="K65">
        <v>0</v>
      </c>
      <c r="L65">
        <v>0</v>
      </c>
      <c r="M65">
        <v>0</v>
      </c>
      <c r="N65">
        <v>5</v>
      </c>
      <c r="O65">
        <v>0</v>
      </c>
      <c r="P65">
        <v>0</v>
      </c>
      <c r="Q65">
        <v>0</v>
      </c>
      <c r="R65">
        <v>1</v>
      </c>
      <c r="S65">
        <v>9</v>
      </c>
      <c r="T65" t="s">
        <v>56</v>
      </c>
      <c r="U65" t="s">
        <v>64</v>
      </c>
      <c r="V65">
        <v>2</v>
      </c>
      <c r="W65">
        <v>4</v>
      </c>
      <c r="X65">
        <v>0</v>
      </c>
      <c r="Y65">
        <v>5</v>
      </c>
      <c r="AA65">
        <v>4</v>
      </c>
      <c r="AB65">
        <v>6</v>
      </c>
    </row>
    <row r="66" spans="1:28" x14ac:dyDescent="0.4">
      <c r="A66">
        <v>65</v>
      </c>
      <c r="B66">
        <v>65</v>
      </c>
      <c r="C66" t="s">
        <v>34</v>
      </c>
      <c r="D66" t="s">
        <v>122</v>
      </c>
      <c r="E66">
        <v>1</v>
      </c>
      <c r="F66">
        <v>1</v>
      </c>
      <c r="G66">
        <v>2</v>
      </c>
      <c r="H66">
        <v>2</v>
      </c>
      <c r="I66">
        <v>0</v>
      </c>
      <c r="J66">
        <v>5</v>
      </c>
      <c r="K66">
        <v>0</v>
      </c>
      <c r="L66">
        <v>3</v>
      </c>
      <c r="M66">
        <v>0</v>
      </c>
      <c r="N66">
        <v>0</v>
      </c>
      <c r="O66">
        <v>0</v>
      </c>
      <c r="P66">
        <v>0</v>
      </c>
      <c r="Q66">
        <v>0</v>
      </c>
      <c r="R66">
        <v>3</v>
      </c>
      <c r="S66">
        <v>0</v>
      </c>
      <c r="T66" t="s">
        <v>36</v>
      </c>
      <c r="U66" t="s">
        <v>45</v>
      </c>
      <c r="V66">
        <v>0</v>
      </c>
      <c r="W66">
        <v>2</v>
      </c>
      <c r="X66">
        <v>3</v>
      </c>
      <c r="Y66">
        <v>0</v>
      </c>
      <c r="AA66">
        <v>0</v>
      </c>
      <c r="AB66">
        <v>0</v>
      </c>
    </row>
    <row r="67" spans="1:28" x14ac:dyDescent="0.4">
      <c r="A67">
        <v>66</v>
      </c>
      <c r="B67">
        <v>66</v>
      </c>
      <c r="C67" t="s">
        <v>46</v>
      </c>
      <c r="D67" t="s">
        <v>123</v>
      </c>
      <c r="E67">
        <v>1</v>
      </c>
      <c r="F67">
        <v>2</v>
      </c>
      <c r="G67">
        <v>4</v>
      </c>
      <c r="H67">
        <v>16</v>
      </c>
      <c r="I67">
        <v>0</v>
      </c>
      <c r="J67">
        <v>1</v>
      </c>
      <c r="K67">
        <v>0</v>
      </c>
      <c r="L67">
        <v>6</v>
      </c>
      <c r="M67">
        <v>0</v>
      </c>
      <c r="N67">
        <v>0</v>
      </c>
      <c r="O67">
        <v>0</v>
      </c>
      <c r="P67">
        <v>0</v>
      </c>
      <c r="Q67">
        <v>0</v>
      </c>
      <c r="R67">
        <v>2</v>
      </c>
      <c r="S67">
        <v>0</v>
      </c>
      <c r="T67" t="s">
        <v>30</v>
      </c>
      <c r="U67" t="s">
        <v>64</v>
      </c>
      <c r="V67">
        <v>0</v>
      </c>
      <c r="W67">
        <v>1</v>
      </c>
      <c r="X67">
        <v>2</v>
      </c>
      <c r="Y67">
        <v>0</v>
      </c>
      <c r="AA67">
        <v>0</v>
      </c>
      <c r="AB67">
        <v>0</v>
      </c>
    </row>
    <row r="68" spans="1:28" x14ac:dyDescent="0.4">
      <c r="A68">
        <v>67</v>
      </c>
      <c r="B68">
        <v>67</v>
      </c>
      <c r="C68" t="s">
        <v>50</v>
      </c>
      <c r="D68" t="s">
        <v>124</v>
      </c>
      <c r="E68">
        <v>2</v>
      </c>
      <c r="F68">
        <v>3</v>
      </c>
      <c r="G68">
        <v>5</v>
      </c>
      <c r="H68">
        <v>5</v>
      </c>
      <c r="I68">
        <v>0</v>
      </c>
      <c r="J68">
        <v>0</v>
      </c>
      <c r="K68">
        <v>15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2</v>
      </c>
      <c r="S68">
        <v>0</v>
      </c>
      <c r="T68" t="s">
        <v>30</v>
      </c>
      <c r="U68" t="s">
        <v>20</v>
      </c>
      <c r="V68">
        <v>2</v>
      </c>
      <c r="W68">
        <v>2</v>
      </c>
      <c r="X68">
        <v>2</v>
      </c>
      <c r="Y68">
        <v>0</v>
      </c>
      <c r="AA68">
        <v>0</v>
      </c>
      <c r="AB68">
        <v>0</v>
      </c>
    </row>
    <row r="69" spans="1:28" x14ac:dyDescent="0.4">
      <c r="A69">
        <v>68</v>
      </c>
      <c r="B69">
        <v>68</v>
      </c>
      <c r="C69" t="s">
        <v>125</v>
      </c>
      <c r="D69" t="s">
        <v>126</v>
      </c>
      <c r="E69">
        <v>8</v>
      </c>
      <c r="F69">
        <v>14</v>
      </c>
      <c r="G69">
        <v>24</v>
      </c>
      <c r="H69">
        <v>20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t="s">
        <v>56</v>
      </c>
      <c r="U69" t="s">
        <v>31</v>
      </c>
      <c r="V69">
        <v>1</v>
      </c>
      <c r="W69">
        <v>1</v>
      </c>
      <c r="X69">
        <v>0</v>
      </c>
      <c r="Y69">
        <v>1</v>
      </c>
      <c r="AA69">
        <v>0</v>
      </c>
      <c r="AB69">
        <v>0</v>
      </c>
    </row>
    <row r="70" spans="1:28" x14ac:dyDescent="0.4">
      <c r="A70">
        <v>69</v>
      </c>
      <c r="B70">
        <v>69</v>
      </c>
      <c r="C70" t="s">
        <v>127</v>
      </c>
      <c r="D70" t="s">
        <v>128</v>
      </c>
      <c r="E70">
        <v>3</v>
      </c>
      <c r="F70">
        <v>15</v>
      </c>
      <c r="G70">
        <v>25</v>
      </c>
      <c r="H70">
        <v>21</v>
      </c>
      <c r="I70">
        <v>0</v>
      </c>
      <c r="J70">
        <v>0</v>
      </c>
      <c r="K70">
        <v>0</v>
      </c>
      <c r="L70">
        <v>0</v>
      </c>
      <c r="M70">
        <v>0</v>
      </c>
      <c r="N70">
        <v>9</v>
      </c>
      <c r="O70">
        <v>0</v>
      </c>
      <c r="P70">
        <v>0</v>
      </c>
      <c r="Q70">
        <v>0</v>
      </c>
      <c r="R70">
        <v>1</v>
      </c>
      <c r="S70">
        <v>0</v>
      </c>
      <c r="T70" t="s">
        <v>56</v>
      </c>
      <c r="U70" t="s">
        <v>64</v>
      </c>
      <c r="V70">
        <v>1</v>
      </c>
      <c r="W70">
        <v>1</v>
      </c>
      <c r="X70">
        <v>0</v>
      </c>
      <c r="Y70">
        <v>4</v>
      </c>
      <c r="AA70">
        <v>0</v>
      </c>
      <c r="AB70">
        <v>0</v>
      </c>
    </row>
    <row r="71" spans="1:28" x14ac:dyDescent="0.4">
      <c r="A71">
        <v>70</v>
      </c>
      <c r="B71">
        <v>70</v>
      </c>
      <c r="C71" t="s">
        <v>129</v>
      </c>
      <c r="D71" t="s">
        <v>130</v>
      </c>
      <c r="E71">
        <v>3</v>
      </c>
      <c r="F71">
        <v>16</v>
      </c>
      <c r="G71">
        <v>26</v>
      </c>
      <c r="H71">
        <v>22</v>
      </c>
      <c r="I71">
        <v>0</v>
      </c>
      <c r="J71">
        <v>0</v>
      </c>
      <c r="K71">
        <v>0</v>
      </c>
      <c r="L71">
        <v>0</v>
      </c>
      <c r="M71">
        <v>0</v>
      </c>
      <c r="N71">
        <v>7</v>
      </c>
      <c r="O71">
        <v>0</v>
      </c>
      <c r="P71">
        <v>1</v>
      </c>
      <c r="Q71">
        <v>0</v>
      </c>
      <c r="R71">
        <v>2</v>
      </c>
      <c r="S71">
        <v>0</v>
      </c>
      <c r="T71" t="s">
        <v>56</v>
      </c>
      <c r="U71" t="s">
        <v>20</v>
      </c>
      <c r="V71">
        <v>1</v>
      </c>
      <c r="W71">
        <v>1</v>
      </c>
      <c r="X71">
        <v>0</v>
      </c>
      <c r="Y71">
        <v>2</v>
      </c>
      <c r="AA71">
        <v>0</v>
      </c>
      <c r="AB71">
        <v>0</v>
      </c>
    </row>
    <row r="72" spans="1:28" x14ac:dyDescent="0.4">
      <c r="A72">
        <v>71</v>
      </c>
      <c r="B72">
        <v>71</v>
      </c>
      <c r="C72" t="s">
        <v>46</v>
      </c>
      <c r="D72" t="s">
        <v>131</v>
      </c>
      <c r="E72">
        <v>1</v>
      </c>
      <c r="F72">
        <v>2</v>
      </c>
      <c r="G72">
        <v>4</v>
      </c>
      <c r="H72">
        <v>16</v>
      </c>
      <c r="I72">
        <v>0</v>
      </c>
      <c r="J72">
        <v>1</v>
      </c>
      <c r="K72">
        <v>0</v>
      </c>
      <c r="L72">
        <v>7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0</v>
      </c>
      <c r="T72" t="s">
        <v>30</v>
      </c>
      <c r="U72" t="s">
        <v>64</v>
      </c>
      <c r="V72">
        <v>0</v>
      </c>
      <c r="W72">
        <v>1</v>
      </c>
      <c r="X72">
        <v>3</v>
      </c>
      <c r="Y72">
        <v>0</v>
      </c>
      <c r="AA72">
        <v>0</v>
      </c>
      <c r="AB72">
        <v>0</v>
      </c>
    </row>
    <row r="73" spans="1:28" x14ac:dyDescent="0.4">
      <c r="A73">
        <v>72</v>
      </c>
      <c r="B73">
        <v>72</v>
      </c>
      <c r="C73" t="s">
        <v>132</v>
      </c>
      <c r="D73" t="s">
        <v>133</v>
      </c>
      <c r="E73">
        <v>6</v>
      </c>
      <c r="F73">
        <v>17</v>
      </c>
      <c r="G73">
        <v>27</v>
      </c>
      <c r="H73">
        <v>23</v>
      </c>
      <c r="I73">
        <v>0</v>
      </c>
      <c r="J73">
        <v>0</v>
      </c>
      <c r="K73">
        <v>0</v>
      </c>
      <c r="L73">
        <v>0</v>
      </c>
      <c r="M73">
        <v>7</v>
      </c>
      <c r="N73">
        <v>0</v>
      </c>
      <c r="O73">
        <v>-2</v>
      </c>
      <c r="P73">
        <v>0</v>
      </c>
      <c r="Q73">
        <v>0</v>
      </c>
      <c r="R73">
        <v>0</v>
      </c>
      <c r="S73">
        <v>0</v>
      </c>
      <c r="T73" t="s">
        <v>56</v>
      </c>
      <c r="U73" t="s">
        <v>45</v>
      </c>
      <c r="V73">
        <v>0</v>
      </c>
      <c r="W73">
        <v>0</v>
      </c>
      <c r="X73">
        <v>12</v>
      </c>
      <c r="Y73">
        <v>0</v>
      </c>
      <c r="AA73">
        <v>0</v>
      </c>
      <c r="AB73">
        <v>0</v>
      </c>
    </row>
    <row r="74" spans="1:28" x14ac:dyDescent="0.4">
      <c r="A74">
        <v>73</v>
      </c>
      <c r="B74">
        <v>73</v>
      </c>
      <c r="C74" t="s">
        <v>134</v>
      </c>
      <c r="D74" t="s">
        <v>135</v>
      </c>
      <c r="E74">
        <v>6</v>
      </c>
      <c r="F74">
        <v>17</v>
      </c>
      <c r="G74">
        <v>28</v>
      </c>
      <c r="H74">
        <v>23</v>
      </c>
      <c r="I74">
        <v>0</v>
      </c>
      <c r="J74">
        <v>0</v>
      </c>
      <c r="K74">
        <v>0</v>
      </c>
      <c r="L74">
        <v>0</v>
      </c>
      <c r="M74">
        <v>9</v>
      </c>
      <c r="N74">
        <v>0</v>
      </c>
      <c r="O74">
        <v>-3</v>
      </c>
      <c r="P74">
        <v>0</v>
      </c>
      <c r="Q74">
        <v>0</v>
      </c>
      <c r="R74">
        <v>0</v>
      </c>
      <c r="S74">
        <v>0</v>
      </c>
      <c r="T74" t="s">
        <v>56</v>
      </c>
      <c r="U74" t="s">
        <v>45</v>
      </c>
      <c r="V74">
        <v>0</v>
      </c>
      <c r="W74">
        <v>0</v>
      </c>
      <c r="X74">
        <v>30</v>
      </c>
      <c r="Y74">
        <v>0</v>
      </c>
      <c r="AA74">
        <v>0</v>
      </c>
      <c r="AB74">
        <v>0</v>
      </c>
    </row>
    <row r="75" spans="1:28" x14ac:dyDescent="0.4">
      <c r="A75">
        <v>74</v>
      </c>
      <c r="B75">
        <v>74</v>
      </c>
      <c r="C75" t="s">
        <v>136</v>
      </c>
      <c r="D75" t="s">
        <v>136</v>
      </c>
      <c r="E75">
        <v>8</v>
      </c>
      <c r="F75">
        <v>18</v>
      </c>
      <c r="G75">
        <v>29</v>
      </c>
      <c r="H75">
        <v>24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2</v>
      </c>
      <c r="Q75">
        <v>0</v>
      </c>
      <c r="R75">
        <v>0</v>
      </c>
      <c r="S75">
        <v>0</v>
      </c>
      <c r="T75" t="s">
        <v>56</v>
      </c>
      <c r="U75" t="s">
        <v>31</v>
      </c>
      <c r="V75">
        <v>0</v>
      </c>
      <c r="W75">
        <v>0</v>
      </c>
      <c r="X75">
        <v>1</v>
      </c>
      <c r="Y75">
        <v>1</v>
      </c>
      <c r="AA75">
        <v>0</v>
      </c>
      <c r="AB75">
        <v>0</v>
      </c>
    </row>
    <row r="76" spans="1:28" x14ac:dyDescent="0.4">
      <c r="A76">
        <v>75</v>
      </c>
      <c r="B76">
        <v>75</v>
      </c>
      <c r="C76" t="s">
        <v>137</v>
      </c>
      <c r="D76" t="s">
        <v>138</v>
      </c>
      <c r="E76">
        <v>9</v>
      </c>
      <c r="F76">
        <v>19</v>
      </c>
      <c r="G76">
        <v>30</v>
      </c>
      <c r="H76">
        <v>25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 t="s">
        <v>56</v>
      </c>
      <c r="U76" t="s">
        <v>31</v>
      </c>
      <c r="V76">
        <v>0</v>
      </c>
      <c r="W76">
        <v>0</v>
      </c>
      <c r="X76">
        <v>1</v>
      </c>
      <c r="Y76">
        <v>0</v>
      </c>
      <c r="AA76">
        <v>0</v>
      </c>
      <c r="AB76">
        <v>0</v>
      </c>
    </row>
    <row r="77" spans="1:28" x14ac:dyDescent="0.4">
      <c r="A77">
        <v>76</v>
      </c>
      <c r="B77">
        <v>76</v>
      </c>
      <c r="C77" t="s">
        <v>39</v>
      </c>
      <c r="D77" t="s">
        <v>139</v>
      </c>
      <c r="E77">
        <v>1</v>
      </c>
      <c r="F77">
        <v>1</v>
      </c>
      <c r="G77">
        <v>3</v>
      </c>
      <c r="H77">
        <v>3</v>
      </c>
      <c r="I77">
        <v>0</v>
      </c>
      <c r="J77">
        <v>16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0</v>
      </c>
      <c r="T77" t="s">
        <v>41</v>
      </c>
      <c r="U77" t="s">
        <v>31</v>
      </c>
      <c r="V77">
        <v>0</v>
      </c>
      <c r="W77">
        <v>11</v>
      </c>
      <c r="X77">
        <v>18</v>
      </c>
      <c r="Y77">
        <v>0</v>
      </c>
      <c r="AA77">
        <v>0</v>
      </c>
      <c r="AB77">
        <v>0</v>
      </c>
    </row>
    <row r="78" spans="1:28" x14ac:dyDescent="0.4">
      <c r="A78">
        <v>77</v>
      </c>
      <c r="B78">
        <v>77</v>
      </c>
      <c r="C78" t="s">
        <v>46</v>
      </c>
      <c r="D78" t="s">
        <v>140</v>
      </c>
      <c r="E78">
        <v>1</v>
      </c>
      <c r="F78">
        <v>2</v>
      </c>
      <c r="G78">
        <v>4</v>
      </c>
      <c r="H78">
        <v>4</v>
      </c>
      <c r="I78">
        <v>0</v>
      </c>
      <c r="J78">
        <v>4</v>
      </c>
      <c r="K78">
        <v>0</v>
      </c>
      <c r="L78">
        <v>2</v>
      </c>
      <c r="M78">
        <v>0</v>
      </c>
      <c r="N78">
        <v>0</v>
      </c>
      <c r="O78">
        <v>0</v>
      </c>
      <c r="P78">
        <v>0</v>
      </c>
      <c r="Q78">
        <v>0</v>
      </c>
      <c r="R78">
        <v>2</v>
      </c>
      <c r="S78">
        <v>0</v>
      </c>
      <c r="T78" t="s">
        <v>36</v>
      </c>
      <c r="U78" t="s">
        <v>31</v>
      </c>
      <c r="V78">
        <v>0</v>
      </c>
      <c r="W78">
        <v>2</v>
      </c>
      <c r="X78">
        <v>4</v>
      </c>
      <c r="Y78">
        <v>0</v>
      </c>
      <c r="AA78">
        <v>0</v>
      </c>
      <c r="AB78">
        <v>0</v>
      </c>
    </row>
    <row r="79" spans="1:28" x14ac:dyDescent="0.4">
      <c r="A79">
        <v>78</v>
      </c>
      <c r="B79">
        <v>78</v>
      </c>
      <c r="C79" t="s">
        <v>28</v>
      </c>
      <c r="D79" t="s">
        <v>141</v>
      </c>
      <c r="E79">
        <v>1</v>
      </c>
      <c r="F79">
        <v>1</v>
      </c>
      <c r="G79">
        <v>1</v>
      </c>
      <c r="H79">
        <v>1</v>
      </c>
      <c r="I79">
        <v>0</v>
      </c>
      <c r="J79">
        <v>2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0</v>
      </c>
      <c r="T79" t="s">
        <v>30</v>
      </c>
      <c r="U79" t="s">
        <v>31</v>
      </c>
      <c r="V79">
        <v>0</v>
      </c>
      <c r="W79">
        <v>1</v>
      </c>
      <c r="X79">
        <v>1</v>
      </c>
      <c r="Y79">
        <v>0</v>
      </c>
      <c r="AA79">
        <v>0</v>
      </c>
      <c r="AB79">
        <v>0</v>
      </c>
    </row>
    <row r="80" spans="1:28" x14ac:dyDescent="0.4">
      <c r="A80">
        <v>79</v>
      </c>
      <c r="B80">
        <v>79</v>
      </c>
      <c r="C80" t="s">
        <v>70</v>
      </c>
      <c r="D80" t="s">
        <v>142</v>
      </c>
      <c r="E80">
        <v>5</v>
      </c>
      <c r="F80">
        <v>43</v>
      </c>
      <c r="G80">
        <v>11</v>
      </c>
      <c r="H80">
        <v>10</v>
      </c>
      <c r="I80">
        <v>32</v>
      </c>
      <c r="J80">
        <v>0</v>
      </c>
      <c r="K80">
        <v>0</v>
      </c>
      <c r="L80">
        <v>2</v>
      </c>
      <c r="M80">
        <v>0</v>
      </c>
      <c r="N80">
        <v>5</v>
      </c>
      <c r="O80">
        <v>0</v>
      </c>
      <c r="P80">
        <v>6</v>
      </c>
      <c r="Q80">
        <v>0</v>
      </c>
      <c r="R80">
        <v>1</v>
      </c>
      <c r="S80">
        <v>6</v>
      </c>
      <c r="T80" t="s">
        <v>56</v>
      </c>
      <c r="U80" t="s">
        <v>45</v>
      </c>
      <c r="V80">
        <v>2</v>
      </c>
      <c r="W80">
        <v>3</v>
      </c>
      <c r="X80">
        <v>0</v>
      </c>
      <c r="Y80">
        <v>5</v>
      </c>
      <c r="AA80">
        <v>5</v>
      </c>
      <c r="AB80">
        <v>6</v>
      </c>
    </row>
    <row r="81" spans="1:28" x14ac:dyDescent="0.4">
      <c r="A81">
        <v>80</v>
      </c>
      <c r="B81">
        <v>80</v>
      </c>
      <c r="C81" t="s">
        <v>70</v>
      </c>
      <c r="D81" t="s">
        <v>143</v>
      </c>
      <c r="E81">
        <v>5</v>
      </c>
      <c r="F81">
        <v>43</v>
      </c>
      <c r="G81">
        <v>11</v>
      </c>
      <c r="H81">
        <v>10</v>
      </c>
      <c r="I81">
        <v>32</v>
      </c>
      <c r="J81">
        <v>0</v>
      </c>
      <c r="K81">
        <v>0</v>
      </c>
      <c r="L81">
        <v>3</v>
      </c>
      <c r="M81">
        <v>0</v>
      </c>
      <c r="N81">
        <v>5</v>
      </c>
      <c r="O81">
        <v>0</v>
      </c>
      <c r="P81">
        <v>6</v>
      </c>
      <c r="Q81">
        <v>0</v>
      </c>
      <c r="R81">
        <v>1</v>
      </c>
      <c r="S81">
        <v>7</v>
      </c>
      <c r="T81" t="s">
        <v>56</v>
      </c>
      <c r="U81" t="s">
        <v>64</v>
      </c>
      <c r="V81">
        <v>2</v>
      </c>
      <c r="W81">
        <v>3</v>
      </c>
      <c r="X81">
        <v>0</v>
      </c>
      <c r="Y81">
        <v>6</v>
      </c>
      <c r="AA81">
        <v>5</v>
      </c>
      <c r="AB81">
        <v>7</v>
      </c>
    </row>
    <row r="82" spans="1:28" x14ac:dyDescent="0.4">
      <c r="A82">
        <v>81</v>
      </c>
      <c r="B82">
        <v>81</v>
      </c>
      <c r="C82" t="s">
        <v>70</v>
      </c>
      <c r="D82" t="s">
        <v>144</v>
      </c>
      <c r="E82">
        <v>5</v>
      </c>
      <c r="F82">
        <v>43</v>
      </c>
      <c r="G82">
        <v>11</v>
      </c>
      <c r="H82">
        <v>10</v>
      </c>
      <c r="I82">
        <v>32</v>
      </c>
      <c r="J82">
        <v>0</v>
      </c>
      <c r="K82">
        <v>0</v>
      </c>
      <c r="L82">
        <v>3</v>
      </c>
      <c r="M82">
        <v>0</v>
      </c>
      <c r="N82">
        <v>6</v>
      </c>
      <c r="O82">
        <v>0</v>
      </c>
      <c r="P82">
        <v>7</v>
      </c>
      <c r="Q82">
        <v>0</v>
      </c>
      <c r="R82">
        <v>1</v>
      </c>
      <c r="S82">
        <v>9</v>
      </c>
      <c r="T82" t="s">
        <v>56</v>
      </c>
      <c r="U82" t="s">
        <v>80</v>
      </c>
      <c r="V82">
        <v>2</v>
      </c>
      <c r="W82">
        <v>3</v>
      </c>
      <c r="X82">
        <v>0</v>
      </c>
      <c r="Y82">
        <v>6</v>
      </c>
      <c r="AA82">
        <v>5</v>
      </c>
      <c r="AB82">
        <v>7</v>
      </c>
    </row>
    <row r="83" spans="1:28" x14ac:dyDescent="0.4">
      <c r="A83">
        <v>82</v>
      </c>
      <c r="B83">
        <v>82</v>
      </c>
      <c r="C83" t="s">
        <v>54</v>
      </c>
      <c r="D83" t="s">
        <v>145</v>
      </c>
      <c r="E83">
        <v>3</v>
      </c>
      <c r="F83">
        <v>5</v>
      </c>
      <c r="G83">
        <v>8</v>
      </c>
      <c r="H83">
        <v>8</v>
      </c>
      <c r="I83">
        <v>1</v>
      </c>
      <c r="J83">
        <v>0</v>
      </c>
      <c r="K83">
        <v>6</v>
      </c>
      <c r="L83">
        <v>0</v>
      </c>
      <c r="M83">
        <v>0</v>
      </c>
      <c r="N83">
        <v>7</v>
      </c>
      <c r="O83">
        <v>0</v>
      </c>
      <c r="P83">
        <v>2</v>
      </c>
      <c r="Q83">
        <v>0</v>
      </c>
      <c r="R83">
        <v>0</v>
      </c>
      <c r="S83">
        <v>0</v>
      </c>
      <c r="T83" t="s">
        <v>56</v>
      </c>
      <c r="U83" t="s">
        <v>45</v>
      </c>
      <c r="V83">
        <v>2</v>
      </c>
      <c r="W83">
        <v>3</v>
      </c>
      <c r="X83">
        <v>0</v>
      </c>
      <c r="Y83">
        <v>4</v>
      </c>
      <c r="AA83">
        <v>4</v>
      </c>
      <c r="AB83">
        <v>5</v>
      </c>
    </row>
    <row r="84" spans="1:28" x14ac:dyDescent="0.4">
      <c r="A84">
        <v>83</v>
      </c>
      <c r="B84">
        <v>83</v>
      </c>
      <c r="C84" t="s">
        <v>54</v>
      </c>
      <c r="D84" t="s">
        <v>146</v>
      </c>
      <c r="E84">
        <v>3</v>
      </c>
      <c r="F84">
        <v>5</v>
      </c>
      <c r="G84">
        <v>8</v>
      </c>
      <c r="H84">
        <v>8</v>
      </c>
      <c r="I84">
        <v>1</v>
      </c>
      <c r="J84">
        <v>0</v>
      </c>
      <c r="K84">
        <v>9</v>
      </c>
      <c r="L84">
        <v>0</v>
      </c>
      <c r="M84">
        <v>0</v>
      </c>
      <c r="N84">
        <v>8</v>
      </c>
      <c r="O84">
        <v>0</v>
      </c>
      <c r="P84">
        <v>2</v>
      </c>
      <c r="Q84">
        <v>0</v>
      </c>
      <c r="R84">
        <v>0</v>
      </c>
      <c r="S84">
        <v>0</v>
      </c>
      <c r="T84" t="s">
        <v>56</v>
      </c>
      <c r="U84" t="s">
        <v>64</v>
      </c>
      <c r="V84">
        <v>2</v>
      </c>
      <c r="W84">
        <v>4</v>
      </c>
      <c r="X84">
        <v>0</v>
      </c>
      <c r="Y84">
        <v>5</v>
      </c>
      <c r="AA84">
        <v>5</v>
      </c>
      <c r="AB84">
        <v>6</v>
      </c>
    </row>
    <row r="85" spans="1:28" x14ac:dyDescent="0.4">
      <c r="A85">
        <v>84</v>
      </c>
      <c r="B85">
        <v>84</v>
      </c>
      <c r="C85" t="s">
        <v>88</v>
      </c>
      <c r="D85" t="s">
        <v>147</v>
      </c>
      <c r="E85">
        <v>4</v>
      </c>
      <c r="F85">
        <v>6</v>
      </c>
      <c r="G85">
        <v>21</v>
      </c>
      <c r="H85">
        <v>15</v>
      </c>
      <c r="I85">
        <v>0</v>
      </c>
      <c r="J85">
        <v>0</v>
      </c>
      <c r="K85">
        <v>0</v>
      </c>
      <c r="L85">
        <v>7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0</v>
      </c>
      <c r="T85" t="s">
        <v>56</v>
      </c>
      <c r="U85" t="s">
        <v>64</v>
      </c>
      <c r="V85">
        <v>0</v>
      </c>
      <c r="W85">
        <v>3</v>
      </c>
      <c r="X85">
        <v>1</v>
      </c>
      <c r="Y85">
        <v>1</v>
      </c>
      <c r="AA85">
        <v>0</v>
      </c>
      <c r="AB85">
        <v>0</v>
      </c>
    </row>
    <row r="86" spans="1:28" x14ac:dyDescent="0.4">
      <c r="A86">
        <v>85</v>
      </c>
      <c r="B86">
        <v>85</v>
      </c>
      <c r="C86" t="s">
        <v>88</v>
      </c>
      <c r="D86" t="s">
        <v>148</v>
      </c>
      <c r="E86">
        <v>4</v>
      </c>
      <c r="F86">
        <v>6</v>
      </c>
      <c r="G86">
        <v>21</v>
      </c>
      <c r="H86">
        <v>15</v>
      </c>
      <c r="I86">
        <v>0</v>
      </c>
      <c r="J86">
        <v>1</v>
      </c>
      <c r="K86">
        <v>0</v>
      </c>
      <c r="L86">
        <v>8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 t="s">
        <v>56</v>
      </c>
      <c r="U86" t="s">
        <v>64</v>
      </c>
      <c r="V86">
        <v>0</v>
      </c>
      <c r="W86">
        <v>3</v>
      </c>
      <c r="X86">
        <v>1</v>
      </c>
      <c r="Y86">
        <v>1</v>
      </c>
      <c r="AA86">
        <v>0</v>
      </c>
      <c r="AB86">
        <v>0</v>
      </c>
    </row>
    <row r="87" spans="1:28" x14ac:dyDescent="0.4">
      <c r="A87">
        <v>86</v>
      </c>
      <c r="B87">
        <v>86</v>
      </c>
      <c r="C87" t="s">
        <v>149</v>
      </c>
      <c r="D87" t="s">
        <v>149</v>
      </c>
      <c r="E87">
        <v>10</v>
      </c>
      <c r="F87">
        <v>20</v>
      </c>
      <c r="G87">
        <v>31</v>
      </c>
      <c r="H87">
        <v>26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t="s">
        <v>56</v>
      </c>
      <c r="U87" t="s">
        <v>64</v>
      </c>
      <c r="V87">
        <v>10</v>
      </c>
      <c r="W87">
        <v>5</v>
      </c>
      <c r="X87">
        <v>20</v>
      </c>
      <c r="Y87">
        <v>10</v>
      </c>
      <c r="AA87">
        <v>0</v>
      </c>
      <c r="AB87">
        <v>0</v>
      </c>
    </row>
    <row r="88" spans="1:28" x14ac:dyDescent="0.4">
      <c r="A88">
        <v>87</v>
      </c>
      <c r="B88">
        <v>87</v>
      </c>
      <c r="C88" t="s">
        <v>81</v>
      </c>
      <c r="D88" t="s">
        <v>150</v>
      </c>
      <c r="E88">
        <v>6</v>
      </c>
      <c r="F88">
        <v>31</v>
      </c>
      <c r="G88">
        <v>17</v>
      </c>
      <c r="H88">
        <v>19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13</v>
      </c>
      <c r="P88">
        <v>0</v>
      </c>
      <c r="Q88">
        <v>0</v>
      </c>
      <c r="R88">
        <v>0</v>
      </c>
      <c r="S88">
        <v>0</v>
      </c>
      <c r="T88" t="s">
        <v>56</v>
      </c>
      <c r="U88" t="s">
        <v>64</v>
      </c>
      <c r="V88">
        <v>20</v>
      </c>
      <c r="W88">
        <v>0</v>
      </c>
      <c r="X88">
        <v>25</v>
      </c>
      <c r="Y88">
        <v>0</v>
      </c>
      <c r="AA88">
        <v>0</v>
      </c>
      <c r="AB88">
        <v>0</v>
      </c>
    </row>
    <row r="89" spans="1:28" x14ac:dyDescent="0.4">
      <c r="A89">
        <v>88</v>
      </c>
      <c r="B89">
        <v>88</v>
      </c>
      <c r="C89" t="s">
        <v>72</v>
      </c>
      <c r="D89" t="s">
        <v>151</v>
      </c>
      <c r="E89">
        <v>5</v>
      </c>
      <c r="F89">
        <v>8</v>
      </c>
      <c r="G89">
        <v>12</v>
      </c>
      <c r="H89">
        <v>11</v>
      </c>
      <c r="I89">
        <v>0</v>
      </c>
      <c r="J89">
        <v>0</v>
      </c>
      <c r="K89">
        <v>0</v>
      </c>
      <c r="L89">
        <v>0</v>
      </c>
      <c r="M89">
        <v>0</v>
      </c>
      <c r="N89">
        <v>2</v>
      </c>
      <c r="O89">
        <v>0</v>
      </c>
      <c r="P89">
        <v>5</v>
      </c>
      <c r="Q89">
        <v>0</v>
      </c>
      <c r="R89">
        <v>8</v>
      </c>
      <c r="S89">
        <v>0</v>
      </c>
      <c r="T89" t="s">
        <v>56</v>
      </c>
      <c r="U89" t="s">
        <v>64</v>
      </c>
      <c r="V89">
        <v>0</v>
      </c>
      <c r="W89">
        <v>0</v>
      </c>
      <c r="X89">
        <v>16</v>
      </c>
      <c r="Y89">
        <v>16</v>
      </c>
      <c r="AA89">
        <v>0</v>
      </c>
      <c r="AB89">
        <v>0</v>
      </c>
    </row>
    <row r="90" spans="1:28" x14ac:dyDescent="0.4">
      <c r="A90">
        <v>89</v>
      </c>
      <c r="B90">
        <v>89</v>
      </c>
      <c r="C90" t="s">
        <v>76</v>
      </c>
      <c r="D90" t="s">
        <v>152</v>
      </c>
      <c r="E90">
        <v>5</v>
      </c>
      <c r="F90">
        <v>8</v>
      </c>
      <c r="G90">
        <v>13</v>
      </c>
      <c r="H90">
        <v>11</v>
      </c>
      <c r="I90">
        <v>0</v>
      </c>
      <c r="J90">
        <v>0</v>
      </c>
      <c r="K90">
        <v>0</v>
      </c>
      <c r="L90">
        <v>5</v>
      </c>
      <c r="M90">
        <v>0</v>
      </c>
      <c r="N90">
        <v>0</v>
      </c>
      <c r="O90">
        <v>1</v>
      </c>
      <c r="P90">
        <v>6</v>
      </c>
      <c r="Q90">
        <v>0</v>
      </c>
      <c r="R90">
        <v>3</v>
      </c>
      <c r="S90">
        <v>0</v>
      </c>
      <c r="T90" t="s">
        <v>56</v>
      </c>
      <c r="U90" t="s">
        <v>64</v>
      </c>
      <c r="V90">
        <v>0</v>
      </c>
      <c r="W90">
        <v>0</v>
      </c>
      <c r="X90">
        <v>21</v>
      </c>
      <c r="Y90">
        <v>23</v>
      </c>
      <c r="AA90">
        <v>0</v>
      </c>
      <c r="AB90">
        <v>0</v>
      </c>
    </row>
    <row r="91" spans="1:28" x14ac:dyDescent="0.4">
      <c r="A91">
        <v>90</v>
      </c>
      <c r="B91">
        <v>90</v>
      </c>
      <c r="C91" t="s">
        <v>34</v>
      </c>
      <c r="D91" t="s">
        <v>153</v>
      </c>
      <c r="E91">
        <v>1</v>
      </c>
      <c r="F91">
        <v>1</v>
      </c>
      <c r="G91">
        <v>2</v>
      </c>
      <c r="H91">
        <v>2</v>
      </c>
      <c r="I91">
        <v>0</v>
      </c>
      <c r="J91">
        <v>9</v>
      </c>
      <c r="K91">
        <v>0</v>
      </c>
      <c r="L91">
        <v>3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0</v>
      </c>
      <c r="T91" t="s">
        <v>36</v>
      </c>
      <c r="U91" t="s">
        <v>20</v>
      </c>
      <c r="V91">
        <v>0</v>
      </c>
      <c r="W91">
        <v>3</v>
      </c>
      <c r="X91">
        <v>4</v>
      </c>
      <c r="Y91">
        <v>0</v>
      </c>
      <c r="AA91">
        <v>0</v>
      </c>
      <c r="AB91">
        <v>0</v>
      </c>
    </row>
    <row r="92" spans="1:28" x14ac:dyDescent="0.4">
      <c r="A92">
        <v>91</v>
      </c>
      <c r="B92">
        <v>91</v>
      </c>
      <c r="C92" t="s">
        <v>28</v>
      </c>
      <c r="D92" t="s">
        <v>154</v>
      </c>
      <c r="E92">
        <v>1</v>
      </c>
      <c r="F92">
        <v>2</v>
      </c>
      <c r="G92">
        <v>1</v>
      </c>
      <c r="H92">
        <v>16</v>
      </c>
      <c r="I92">
        <v>0</v>
      </c>
      <c r="J92">
        <v>2</v>
      </c>
      <c r="K92">
        <v>0</v>
      </c>
      <c r="L92">
        <v>5</v>
      </c>
      <c r="M92">
        <v>0</v>
      </c>
      <c r="N92">
        <v>1</v>
      </c>
      <c r="O92">
        <v>1</v>
      </c>
      <c r="P92">
        <v>0</v>
      </c>
      <c r="Q92">
        <v>0</v>
      </c>
      <c r="R92">
        <v>1</v>
      </c>
      <c r="S92">
        <v>0</v>
      </c>
      <c r="T92" t="s">
        <v>30</v>
      </c>
      <c r="U92" t="s">
        <v>20</v>
      </c>
      <c r="V92">
        <v>0</v>
      </c>
      <c r="W92">
        <v>2</v>
      </c>
      <c r="X92">
        <v>2</v>
      </c>
      <c r="Y92">
        <v>0</v>
      </c>
      <c r="AA92">
        <v>0</v>
      </c>
      <c r="AB92">
        <v>0</v>
      </c>
    </row>
    <row r="93" spans="1:28" x14ac:dyDescent="0.4">
      <c r="A93">
        <v>92</v>
      </c>
      <c r="B93">
        <v>92</v>
      </c>
      <c r="C93" t="s">
        <v>88</v>
      </c>
      <c r="D93" t="s">
        <v>155</v>
      </c>
      <c r="E93">
        <v>4</v>
      </c>
      <c r="F93">
        <v>6</v>
      </c>
      <c r="G93">
        <v>21</v>
      </c>
      <c r="H93">
        <v>15</v>
      </c>
      <c r="I93">
        <v>0</v>
      </c>
      <c r="J93">
        <v>0</v>
      </c>
      <c r="K93">
        <v>0</v>
      </c>
      <c r="L93">
        <v>6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 t="s">
        <v>56</v>
      </c>
      <c r="U93" t="s">
        <v>31</v>
      </c>
      <c r="V93">
        <v>0</v>
      </c>
      <c r="W93">
        <v>2</v>
      </c>
      <c r="X93">
        <v>1</v>
      </c>
      <c r="Y93">
        <v>0</v>
      </c>
      <c r="AA93">
        <v>0</v>
      </c>
      <c r="AB93">
        <v>0</v>
      </c>
    </row>
    <row r="94" spans="1:28" x14ac:dyDescent="0.4">
      <c r="A94">
        <v>93</v>
      </c>
      <c r="B94">
        <v>93</v>
      </c>
      <c r="C94" t="s">
        <v>54</v>
      </c>
      <c r="D94" t="s">
        <v>156</v>
      </c>
      <c r="E94">
        <v>3</v>
      </c>
      <c r="F94">
        <v>5</v>
      </c>
      <c r="G94">
        <v>8</v>
      </c>
      <c r="H94">
        <v>8</v>
      </c>
      <c r="I94">
        <v>1</v>
      </c>
      <c r="J94">
        <v>0</v>
      </c>
      <c r="K94">
        <v>11</v>
      </c>
      <c r="L94">
        <v>1</v>
      </c>
      <c r="M94">
        <v>0</v>
      </c>
      <c r="N94">
        <v>5</v>
      </c>
      <c r="O94">
        <v>0</v>
      </c>
      <c r="P94">
        <v>4</v>
      </c>
      <c r="Q94">
        <v>0</v>
      </c>
      <c r="R94">
        <v>3</v>
      </c>
      <c r="S94">
        <v>0</v>
      </c>
      <c r="T94" t="s">
        <v>56</v>
      </c>
      <c r="U94" t="s">
        <v>80</v>
      </c>
      <c r="V94">
        <v>1</v>
      </c>
      <c r="W94">
        <v>1</v>
      </c>
      <c r="X94">
        <v>0</v>
      </c>
      <c r="Y94">
        <v>2</v>
      </c>
      <c r="AA94">
        <v>4</v>
      </c>
      <c r="AB94">
        <v>5</v>
      </c>
    </row>
    <row r="95" spans="1:28" x14ac:dyDescent="0.4">
      <c r="A95">
        <v>94</v>
      </c>
      <c r="B95">
        <v>94</v>
      </c>
      <c r="C95" t="s">
        <v>54</v>
      </c>
      <c r="D95" t="s">
        <v>157</v>
      </c>
      <c r="E95">
        <v>3</v>
      </c>
      <c r="F95">
        <v>5</v>
      </c>
      <c r="G95">
        <v>8</v>
      </c>
      <c r="H95">
        <v>8</v>
      </c>
      <c r="I95">
        <v>1</v>
      </c>
      <c r="J95">
        <v>0</v>
      </c>
      <c r="K95">
        <v>14</v>
      </c>
      <c r="L95">
        <v>1</v>
      </c>
      <c r="M95">
        <v>0</v>
      </c>
      <c r="N95">
        <v>6</v>
      </c>
      <c r="O95">
        <v>0</v>
      </c>
      <c r="P95">
        <v>5</v>
      </c>
      <c r="Q95">
        <v>0</v>
      </c>
      <c r="R95">
        <v>3</v>
      </c>
      <c r="S95">
        <v>0</v>
      </c>
      <c r="T95" t="s">
        <v>56</v>
      </c>
      <c r="U95" t="s">
        <v>113</v>
      </c>
      <c r="V95">
        <v>2</v>
      </c>
      <c r="W95">
        <v>4</v>
      </c>
      <c r="X95">
        <v>0</v>
      </c>
      <c r="Y95">
        <v>4</v>
      </c>
      <c r="AA95">
        <v>5</v>
      </c>
      <c r="AB95">
        <v>6</v>
      </c>
    </row>
    <row r="96" spans="1:28" x14ac:dyDescent="0.4">
      <c r="A96">
        <v>95</v>
      </c>
      <c r="B96">
        <v>95</v>
      </c>
      <c r="C96" t="s">
        <v>158</v>
      </c>
      <c r="D96" t="s">
        <v>159</v>
      </c>
      <c r="E96">
        <v>2</v>
      </c>
      <c r="F96">
        <v>3</v>
      </c>
      <c r="G96">
        <v>32</v>
      </c>
      <c r="H96">
        <v>5</v>
      </c>
      <c r="I96">
        <v>0</v>
      </c>
      <c r="J96">
        <v>0</v>
      </c>
      <c r="K96">
        <v>16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3</v>
      </c>
      <c r="S96">
        <v>0</v>
      </c>
      <c r="T96" t="s">
        <v>30</v>
      </c>
      <c r="U96" t="s">
        <v>45</v>
      </c>
      <c r="V96">
        <v>2</v>
      </c>
      <c r="W96">
        <v>4</v>
      </c>
      <c r="X96">
        <v>2</v>
      </c>
      <c r="Y96">
        <v>0</v>
      </c>
      <c r="AA96">
        <v>0</v>
      </c>
      <c r="AB96">
        <v>0</v>
      </c>
    </row>
    <row r="97" spans="1:28" x14ac:dyDescent="0.4">
      <c r="A97">
        <v>96</v>
      </c>
      <c r="B97">
        <v>96</v>
      </c>
      <c r="C97" t="s">
        <v>59</v>
      </c>
      <c r="D97" t="s">
        <v>160</v>
      </c>
      <c r="E97">
        <v>3</v>
      </c>
      <c r="F97">
        <v>5</v>
      </c>
      <c r="G97">
        <v>6</v>
      </c>
      <c r="H97">
        <v>6</v>
      </c>
      <c r="I97">
        <v>11</v>
      </c>
      <c r="J97">
        <v>0</v>
      </c>
      <c r="K97">
        <v>0</v>
      </c>
      <c r="L97">
        <v>8</v>
      </c>
      <c r="M97">
        <v>0</v>
      </c>
      <c r="N97">
        <v>0</v>
      </c>
      <c r="O97">
        <v>2</v>
      </c>
      <c r="P97">
        <v>1</v>
      </c>
      <c r="Q97">
        <v>0</v>
      </c>
      <c r="R97">
        <v>2</v>
      </c>
      <c r="S97">
        <v>0</v>
      </c>
      <c r="T97" t="s">
        <v>56</v>
      </c>
      <c r="U97" t="s">
        <v>64</v>
      </c>
      <c r="V97">
        <v>1</v>
      </c>
      <c r="W97">
        <v>1</v>
      </c>
      <c r="X97">
        <v>0</v>
      </c>
      <c r="Y97">
        <v>2</v>
      </c>
      <c r="AA97">
        <v>7</v>
      </c>
      <c r="AB97">
        <v>4</v>
      </c>
    </row>
    <row r="98" spans="1:28" x14ac:dyDescent="0.4">
      <c r="A98">
        <v>97</v>
      </c>
      <c r="B98">
        <v>97</v>
      </c>
      <c r="C98" t="s">
        <v>65</v>
      </c>
      <c r="D98" t="s">
        <v>161</v>
      </c>
      <c r="E98">
        <v>3</v>
      </c>
      <c r="F98">
        <v>5</v>
      </c>
      <c r="G98">
        <v>7</v>
      </c>
      <c r="H98">
        <v>7</v>
      </c>
      <c r="I98">
        <v>15</v>
      </c>
      <c r="J98">
        <v>0</v>
      </c>
      <c r="K98">
        <v>0</v>
      </c>
      <c r="L98">
        <v>1</v>
      </c>
      <c r="M98">
        <v>0</v>
      </c>
      <c r="N98">
        <v>4</v>
      </c>
      <c r="O98">
        <v>0</v>
      </c>
      <c r="P98">
        <v>2</v>
      </c>
      <c r="Q98">
        <v>0</v>
      </c>
      <c r="R98">
        <v>2</v>
      </c>
      <c r="S98">
        <v>7</v>
      </c>
      <c r="T98" t="s">
        <v>56</v>
      </c>
      <c r="U98" t="s">
        <v>64</v>
      </c>
      <c r="V98">
        <v>1</v>
      </c>
      <c r="W98">
        <v>1</v>
      </c>
      <c r="X98">
        <v>0</v>
      </c>
      <c r="Y98">
        <v>2</v>
      </c>
      <c r="AA98">
        <v>4</v>
      </c>
      <c r="AB98">
        <v>4</v>
      </c>
    </row>
    <row r="99" spans="1:28" x14ac:dyDescent="0.4">
      <c r="A99">
        <v>98</v>
      </c>
      <c r="B99">
        <v>98</v>
      </c>
      <c r="C99" t="s">
        <v>54</v>
      </c>
      <c r="D99" t="s">
        <v>162</v>
      </c>
      <c r="E99">
        <v>3</v>
      </c>
      <c r="F99">
        <v>5</v>
      </c>
      <c r="G99">
        <v>8</v>
      </c>
      <c r="H99">
        <v>8</v>
      </c>
      <c r="I99">
        <v>1</v>
      </c>
      <c r="J99">
        <v>0</v>
      </c>
      <c r="K99">
        <v>8</v>
      </c>
      <c r="L99">
        <v>0</v>
      </c>
      <c r="M99">
        <v>0</v>
      </c>
      <c r="N99">
        <v>5</v>
      </c>
      <c r="O99">
        <v>0</v>
      </c>
      <c r="P99">
        <v>2</v>
      </c>
      <c r="Q99">
        <v>0</v>
      </c>
      <c r="R99">
        <v>2</v>
      </c>
      <c r="S99">
        <v>0</v>
      </c>
      <c r="T99" t="s">
        <v>56</v>
      </c>
      <c r="U99" t="s">
        <v>64</v>
      </c>
      <c r="V99">
        <v>1</v>
      </c>
      <c r="W99">
        <v>1</v>
      </c>
      <c r="X99">
        <v>0</v>
      </c>
      <c r="Y99">
        <v>2</v>
      </c>
      <c r="AA99">
        <v>4</v>
      </c>
      <c r="AB99">
        <v>5</v>
      </c>
    </row>
    <row r="100" spans="1:28" x14ac:dyDescent="0.4">
      <c r="A100">
        <v>99</v>
      </c>
      <c r="B100">
        <v>99</v>
      </c>
      <c r="C100" t="s">
        <v>65</v>
      </c>
      <c r="D100" t="s">
        <v>163</v>
      </c>
      <c r="E100">
        <v>3</v>
      </c>
      <c r="F100">
        <v>5</v>
      </c>
      <c r="G100">
        <v>7</v>
      </c>
      <c r="H100">
        <v>7</v>
      </c>
      <c r="I100">
        <v>40</v>
      </c>
      <c r="J100">
        <v>0</v>
      </c>
      <c r="K100">
        <v>0</v>
      </c>
      <c r="L100">
        <v>0</v>
      </c>
      <c r="M100">
        <v>0</v>
      </c>
      <c r="N100">
        <v>5</v>
      </c>
      <c r="O100">
        <v>0</v>
      </c>
      <c r="P100">
        <v>3</v>
      </c>
      <c r="Q100">
        <v>0</v>
      </c>
      <c r="R100">
        <v>4</v>
      </c>
      <c r="S100">
        <v>10</v>
      </c>
      <c r="T100" t="s">
        <v>56</v>
      </c>
      <c r="U100" t="s">
        <v>80</v>
      </c>
      <c r="V100">
        <v>1</v>
      </c>
      <c r="W100">
        <v>1</v>
      </c>
      <c r="X100">
        <v>0</v>
      </c>
      <c r="Y100">
        <v>2</v>
      </c>
      <c r="AA100">
        <v>4</v>
      </c>
      <c r="AB100">
        <v>4</v>
      </c>
    </row>
    <row r="101" spans="1:28" x14ac:dyDescent="0.4">
      <c r="A101">
        <v>100</v>
      </c>
      <c r="B101">
        <v>100</v>
      </c>
      <c r="C101" t="s">
        <v>65</v>
      </c>
      <c r="D101" t="s">
        <v>164</v>
      </c>
      <c r="E101">
        <v>3</v>
      </c>
      <c r="F101">
        <v>5</v>
      </c>
      <c r="G101">
        <v>7</v>
      </c>
      <c r="H101">
        <v>7</v>
      </c>
      <c r="I101">
        <v>16</v>
      </c>
      <c r="J101">
        <v>0</v>
      </c>
      <c r="K101">
        <v>0</v>
      </c>
      <c r="L101">
        <v>1</v>
      </c>
      <c r="M101">
        <v>0</v>
      </c>
      <c r="N101">
        <v>5</v>
      </c>
      <c r="O101">
        <v>0</v>
      </c>
      <c r="P101">
        <v>4</v>
      </c>
      <c r="Q101">
        <v>0</v>
      </c>
      <c r="R101">
        <v>4</v>
      </c>
      <c r="S101">
        <v>13</v>
      </c>
      <c r="T101" t="s">
        <v>56</v>
      </c>
      <c r="U101" t="s">
        <v>113</v>
      </c>
      <c r="V101">
        <v>2</v>
      </c>
      <c r="W101">
        <v>3</v>
      </c>
      <c r="X101">
        <v>0</v>
      </c>
      <c r="Y101">
        <v>3</v>
      </c>
      <c r="AA101">
        <v>5</v>
      </c>
      <c r="AB101">
        <v>5</v>
      </c>
    </row>
    <row r="102" spans="1:28" x14ac:dyDescent="0.4">
      <c r="A102">
        <v>101</v>
      </c>
      <c r="B102">
        <v>101</v>
      </c>
      <c r="C102" t="s">
        <v>165</v>
      </c>
      <c r="D102" t="s">
        <v>165</v>
      </c>
      <c r="E102">
        <v>11</v>
      </c>
      <c r="F102">
        <v>21</v>
      </c>
      <c r="G102">
        <v>33</v>
      </c>
      <c r="H102">
        <v>27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t="s">
        <v>56</v>
      </c>
      <c r="U102" t="s">
        <v>20</v>
      </c>
      <c r="V102">
        <v>0</v>
      </c>
      <c r="W102">
        <v>2</v>
      </c>
      <c r="X102">
        <v>1</v>
      </c>
      <c r="Y102">
        <v>1</v>
      </c>
      <c r="AA102">
        <v>0</v>
      </c>
      <c r="AB102">
        <v>0</v>
      </c>
    </row>
    <row r="103" spans="1:28" x14ac:dyDescent="0.4">
      <c r="A103">
        <v>102</v>
      </c>
      <c r="B103">
        <v>102</v>
      </c>
      <c r="C103" t="s">
        <v>68</v>
      </c>
      <c r="D103" t="s">
        <v>166</v>
      </c>
      <c r="E103">
        <v>5</v>
      </c>
      <c r="F103">
        <v>7</v>
      </c>
      <c r="G103">
        <v>10</v>
      </c>
      <c r="H103">
        <v>10</v>
      </c>
      <c r="I103">
        <v>2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0</v>
      </c>
      <c r="P103">
        <v>3</v>
      </c>
      <c r="Q103">
        <v>0</v>
      </c>
      <c r="R103">
        <v>1</v>
      </c>
      <c r="S103">
        <v>0</v>
      </c>
      <c r="T103" t="s">
        <v>56</v>
      </c>
      <c r="U103" t="s">
        <v>64</v>
      </c>
      <c r="V103">
        <v>2</v>
      </c>
      <c r="W103">
        <v>1</v>
      </c>
      <c r="X103">
        <v>0</v>
      </c>
      <c r="Y103">
        <v>4</v>
      </c>
      <c r="AA103">
        <v>6</v>
      </c>
      <c r="AB103">
        <v>8</v>
      </c>
    </row>
    <row r="104" spans="1:28" x14ac:dyDescent="0.4">
      <c r="A104">
        <v>103</v>
      </c>
      <c r="B104">
        <v>103</v>
      </c>
      <c r="C104" t="s">
        <v>39</v>
      </c>
      <c r="D104" t="s">
        <v>167</v>
      </c>
      <c r="E104">
        <v>1</v>
      </c>
      <c r="F104">
        <v>1</v>
      </c>
      <c r="G104">
        <v>3</v>
      </c>
      <c r="H104">
        <v>3</v>
      </c>
      <c r="I104">
        <v>0</v>
      </c>
      <c r="J104">
        <v>18</v>
      </c>
      <c r="K104">
        <v>0</v>
      </c>
      <c r="L104">
        <v>5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2</v>
      </c>
      <c r="S104">
        <v>0</v>
      </c>
      <c r="T104" t="s">
        <v>41</v>
      </c>
      <c r="U104" t="s">
        <v>80</v>
      </c>
      <c r="V104">
        <v>0</v>
      </c>
      <c r="W104">
        <v>11</v>
      </c>
      <c r="X104">
        <v>18</v>
      </c>
      <c r="Y104">
        <v>0</v>
      </c>
      <c r="AA104">
        <v>0</v>
      </c>
      <c r="AB104">
        <v>0</v>
      </c>
    </row>
    <row r="105" spans="1:28" x14ac:dyDescent="0.4">
      <c r="A105">
        <v>104</v>
      </c>
      <c r="B105">
        <v>104</v>
      </c>
      <c r="C105" t="s">
        <v>39</v>
      </c>
      <c r="D105" t="s">
        <v>168</v>
      </c>
      <c r="E105">
        <v>1</v>
      </c>
      <c r="F105">
        <v>1</v>
      </c>
      <c r="G105">
        <v>3</v>
      </c>
      <c r="H105">
        <v>3</v>
      </c>
      <c r="I105">
        <v>0</v>
      </c>
      <c r="J105">
        <v>15</v>
      </c>
      <c r="K105">
        <v>0</v>
      </c>
      <c r="L105">
        <v>5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1</v>
      </c>
      <c r="S105">
        <v>0</v>
      </c>
      <c r="T105" t="s">
        <v>41</v>
      </c>
      <c r="U105" t="s">
        <v>64</v>
      </c>
      <c r="V105">
        <v>0</v>
      </c>
      <c r="W105">
        <v>10</v>
      </c>
      <c r="X105">
        <v>15</v>
      </c>
      <c r="Y105">
        <v>0</v>
      </c>
      <c r="AA105">
        <v>0</v>
      </c>
      <c r="AB105">
        <v>0</v>
      </c>
    </row>
    <row r="106" spans="1:28" x14ac:dyDescent="0.4">
      <c r="A106">
        <v>105</v>
      </c>
      <c r="B106">
        <v>105</v>
      </c>
      <c r="C106" t="s">
        <v>39</v>
      </c>
      <c r="D106" t="s">
        <v>169</v>
      </c>
      <c r="E106">
        <v>1</v>
      </c>
      <c r="F106">
        <v>1</v>
      </c>
      <c r="G106">
        <v>3</v>
      </c>
      <c r="H106">
        <v>3</v>
      </c>
      <c r="I106">
        <v>0</v>
      </c>
      <c r="J106">
        <v>22</v>
      </c>
      <c r="K106">
        <v>0</v>
      </c>
      <c r="L106">
        <v>5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2</v>
      </c>
      <c r="S106">
        <v>0</v>
      </c>
      <c r="T106" t="s">
        <v>41</v>
      </c>
      <c r="U106" t="s">
        <v>80</v>
      </c>
      <c r="V106">
        <v>0</v>
      </c>
      <c r="W106">
        <v>14</v>
      </c>
      <c r="X106">
        <v>22</v>
      </c>
      <c r="Y106">
        <v>0</v>
      </c>
      <c r="AA106">
        <v>0</v>
      </c>
      <c r="AB106">
        <v>0</v>
      </c>
    </row>
    <row r="107" spans="1:28" x14ac:dyDescent="0.4">
      <c r="A107">
        <v>106</v>
      </c>
      <c r="B107">
        <v>106</v>
      </c>
      <c r="C107" t="s">
        <v>72</v>
      </c>
      <c r="D107" t="s">
        <v>170</v>
      </c>
      <c r="E107">
        <v>5</v>
      </c>
      <c r="F107">
        <v>8</v>
      </c>
      <c r="G107">
        <v>12</v>
      </c>
      <c r="H107">
        <v>11</v>
      </c>
      <c r="I107">
        <v>0</v>
      </c>
      <c r="J107">
        <v>0</v>
      </c>
      <c r="K107">
        <v>0</v>
      </c>
      <c r="L107">
        <v>4</v>
      </c>
      <c r="M107">
        <v>0</v>
      </c>
      <c r="N107">
        <v>0</v>
      </c>
      <c r="O107">
        <v>1</v>
      </c>
      <c r="P107">
        <v>4</v>
      </c>
      <c r="Q107">
        <v>0</v>
      </c>
      <c r="R107">
        <v>2</v>
      </c>
      <c r="S107">
        <v>0</v>
      </c>
      <c r="T107" t="s">
        <v>56</v>
      </c>
      <c r="U107" t="s">
        <v>64</v>
      </c>
      <c r="V107">
        <v>0</v>
      </c>
      <c r="W107">
        <v>0</v>
      </c>
      <c r="X107">
        <v>10</v>
      </c>
      <c r="Y107">
        <v>11</v>
      </c>
      <c r="AA107">
        <v>0</v>
      </c>
      <c r="AB107">
        <v>0</v>
      </c>
    </row>
    <row r="108" spans="1:28" x14ac:dyDescent="0.4">
      <c r="A108">
        <v>107</v>
      </c>
      <c r="B108">
        <v>107</v>
      </c>
      <c r="C108" t="s">
        <v>171</v>
      </c>
      <c r="D108" t="s">
        <v>172</v>
      </c>
      <c r="E108">
        <v>12</v>
      </c>
      <c r="F108">
        <v>22</v>
      </c>
      <c r="G108">
        <v>34</v>
      </c>
      <c r="H108">
        <v>28</v>
      </c>
      <c r="I108">
        <v>0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1</v>
      </c>
      <c r="P108">
        <v>1</v>
      </c>
      <c r="Q108">
        <v>0</v>
      </c>
      <c r="R108">
        <v>1</v>
      </c>
      <c r="S108">
        <v>0</v>
      </c>
      <c r="T108" t="s">
        <v>56</v>
      </c>
      <c r="U108" t="s">
        <v>113</v>
      </c>
      <c r="V108">
        <v>1</v>
      </c>
      <c r="W108">
        <v>1</v>
      </c>
      <c r="X108">
        <v>1</v>
      </c>
      <c r="Y108">
        <v>1</v>
      </c>
      <c r="AA108">
        <v>0</v>
      </c>
      <c r="AB108">
        <v>0</v>
      </c>
    </row>
    <row r="109" spans="1:28" x14ac:dyDescent="0.4">
      <c r="A109">
        <v>108</v>
      </c>
      <c r="B109">
        <v>108</v>
      </c>
      <c r="C109" t="s">
        <v>173</v>
      </c>
      <c r="D109" t="s">
        <v>174</v>
      </c>
      <c r="E109">
        <v>13</v>
      </c>
      <c r="F109">
        <v>23</v>
      </c>
      <c r="G109">
        <v>35</v>
      </c>
      <c r="H109">
        <v>29</v>
      </c>
      <c r="I109">
        <v>0</v>
      </c>
      <c r="J109">
        <v>10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1</v>
      </c>
      <c r="Q109">
        <v>0</v>
      </c>
      <c r="R109">
        <v>1</v>
      </c>
      <c r="S109">
        <v>0</v>
      </c>
      <c r="T109" t="s">
        <v>41</v>
      </c>
      <c r="U109" t="s">
        <v>64</v>
      </c>
      <c r="V109">
        <v>1</v>
      </c>
      <c r="W109">
        <v>10</v>
      </c>
      <c r="X109">
        <v>1</v>
      </c>
      <c r="Y109">
        <v>10</v>
      </c>
      <c r="AA109">
        <v>0</v>
      </c>
      <c r="AB109">
        <v>0</v>
      </c>
    </row>
    <row r="110" spans="1:28" x14ac:dyDescent="0.4">
      <c r="A110">
        <v>109</v>
      </c>
      <c r="B110">
        <v>109</v>
      </c>
      <c r="C110" t="s">
        <v>59</v>
      </c>
      <c r="D110" t="s">
        <v>175</v>
      </c>
      <c r="E110">
        <v>3</v>
      </c>
      <c r="F110">
        <v>5</v>
      </c>
      <c r="G110">
        <v>6</v>
      </c>
      <c r="H110">
        <v>6</v>
      </c>
      <c r="I110">
        <v>13</v>
      </c>
      <c r="J110">
        <v>0</v>
      </c>
      <c r="K110">
        <v>0</v>
      </c>
      <c r="L110">
        <v>9</v>
      </c>
      <c r="M110">
        <v>0</v>
      </c>
      <c r="N110">
        <v>0</v>
      </c>
      <c r="O110">
        <v>1</v>
      </c>
      <c r="P110">
        <v>0</v>
      </c>
      <c r="Q110">
        <v>0</v>
      </c>
      <c r="R110">
        <v>1</v>
      </c>
      <c r="S110">
        <v>0</v>
      </c>
      <c r="T110" t="s">
        <v>56</v>
      </c>
      <c r="U110" t="s">
        <v>64</v>
      </c>
      <c r="V110">
        <v>1</v>
      </c>
      <c r="W110">
        <v>2</v>
      </c>
      <c r="X110">
        <v>0</v>
      </c>
      <c r="Y110">
        <v>3</v>
      </c>
      <c r="AA110">
        <v>6</v>
      </c>
      <c r="AB110">
        <v>5</v>
      </c>
    </row>
    <row r="111" spans="1:28" x14ac:dyDescent="0.4">
      <c r="A111">
        <v>110</v>
      </c>
      <c r="B111">
        <v>110</v>
      </c>
      <c r="C111" t="s">
        <v>59</v>
      </c>
      <c r="D111" t="s">
        <v>743</v>
      </c>
      <c r="E111">
        <v>3</v>
      </c>
      <c r="F111">
        <v>5</v>
      </c>
      <c r="G111">
        <v>6</v>
      </c>
      <c r="H111">
        <v>6</v>
      </c>
      <c r="I111">
        <v>13</v>
      </c>
      <c r="J111">
        <v>0</v>
      </c>
      <c r="K111">
        <v>0</v>
      </c>
      <c r="L111">
        <v>11</v>
      </c>
      <c r="M111">
        <v>0</v>
      </c>
      <c r="N111">
        <v>0</v>
      </c>
      <c r="O111">
        <v>2</v>
      </c>
      <c r="P111">
        <v>0</v>
      </c>
      <c r="Q111">
        <v>0</v>
      </c>
      <c r="R111">
        <v>1</v>
      </c>
      <c r="S111">
        <v>0</v>
      </c>
      <c r="T111" t="s">
        <v>56</v>
      </c>
      <c r="U111" t="s">
        <v>80</v>
      </c>
      <c r="V111">
        <v>2</v>
      </c>
      <c r="W111">
        <v>2</v>
      </c>
      <c r="X111">
        <v>0</v>
      </c>
      <c r="Y111">
        <v>9</v>
      </c>
      <c r="AA111">
        <v>5</v>
      </c>
      <c r="AB111">
        <v>7</v>
      </c>
    </row>
    <row r="112" spans="1:28" x14ac:dyDescent="0.4">
      <c r="A112">
        <v>111</v>
      </c>
      <c r="B112">
        <v>111</v>
      </c>
      <c r="C112" t="s">
        <v>65</v>
      </c>
      <c r="D112" t="s">
        <v>177</v>
      </c>
      <c r="E112">
        <v>3</v>
      </c>
      <c r="F112">
        <v>5</v>
      </c>
      <c r="G112">
        <v>7</v>
      </c>
      <c r="H112">
        <v>7</v>
      </c>
      <c r="I112">
        <v>16</v>
      </c>
      <c r="J112">
        <v>0</v>
      </c>
      <c r="K112">
        <v>0</v>
      </c>
      <c r="L112">
        <v>0</v>
      </c>
      <c r="M112">
        <v>0</v>
      </c>
      <c r="N112">
        <v>4</v>
      </c>
      <c r="O112">
        <v>0</v>
      </c>
      <c r="P112">
        <v>1</v>
      </c>
      <c r="Q112">
        <v>0</v>
      </c>
      <c r="R112">
        <v>1</v>
      </c>
      <c r="S112">
        <v>11</v>
      </c>
      <c r="T112" t="s">
        <v>56</v>
      </c>
      <c r="U112" t="s">
        <v>64</v>
      </c>
      <c r="V112">
        <v>2</v>
      </c>
      <c r="W112">
        <v>3</v>
      </c>
      <c r="X112">
        <v>0</v>
      </c>
      <c r="Y112">
        <v>3</v>
      </c>
      <c r="AA112">
        <v>5</v>
      </c>
      <c r="AB112">
        <v>5</v>
      </c>
    </row>
    <row r="113" spans="1:28" x14ac:dyDescent="0.4">
      <c r="A113">
        <v>112</v>
      </c>
      <c r="B113">
        <v>112</v>
      </c>
      <c r="C113" t="s">
        <v>54</v>
      </c>
      <c r="D113" t="s">
        <v>178</v>
      </c>
      <c r="E113">
        <v>3</v>
      </c>
      <c r="F113">
        <v>5</v>
      </c>
      <c r="G113">
        <v>8</v>
      </c>
      <c r="H113">
        <v>8</v>
      </c>
      <c r="I113">
        <v>1</v>
      </c>
      <c r="J113">
        <v>0</v>
      </c>
      <c r="K113">
        <v>10</v>
      </c>
      <c r="L113">
        <v>0</v>
      </c>
      <c r="M113">
        <v>0</v>
      </c>
      <c r="N113">
        <v>4</v>
      </c>
      <c r="O113">
        <v>0</v>
      </c>
      <c r="P113">
        <v>2</v>
      </c>
      <c r="Q113">
        <v>0</v>
      </c>
      <c r="R113">
        <v>1</v>
      </c>
      <c r="S113">
        <v>0</v>
      </c>
      <c r="T113" t="s">
        <v>56</v>
      </c>
      <c r="U113" t="s">
        <v>64</v>
      </c>
      <c r="V113">
        <v>2</v>
      </c>
      <c r="W113">
        <v>4</v>
      </c>
      <c r="X113">
        <v>0</v>
      </c>
      <c r="Y113">
        <v>4</v>
      </c>
      <c r="AA113">
        <v>5</v>
      </c>
      <c r="AB113">
        <v>6</v>
      </c>
    </row>
    <row r="114" spans="1:28" x14ac:dyDescent="0.4">
      <c r="A114">
        <v>113</v>
      </c>
      <c r="B114">
        <v>113</v>
      </c>
      <c r="C114" t="s">
        <v>54</v>
      </c>
      <c r="D114" t="s">
        <v>179</v>
      </c>
      <c r="E114">
        <v>3</v>
      </c>
      <c r="F114">
        <v>5</v>
      </c>
      <c r="G114">
        <v>8</v>
      </c>
      <c r="H114">
        <v>8</v>
      </c>
      <c r="I114">
        <v>17</v>
      </c>
      <c r="J114">
        <v>0</v>
      </c>
      <c r="K114">
        <v>13</v>
      </c>
      <c r="L114">
        <v>0</v>
      </c>
      <c r="M114">
        <v>0</v>
      </c>
      <c r="N114">
        <v>5</v>
      </c>
      <c r="O114">
        <v>0</v>
      </c>
      <c r="P114">
        <v>3</v>
      </c>
      <c r="Q114">
        <v>0</v>
      </c>
      <c r="R114">
        <v>1</v>
      </c>
      <c r="S114">
        <v>0</v>
      </c>
      <c r="T114" t="s">
        <v>56</v>
      </c>
      <c r="U114" t="s">
        <v>80</v>
      </c>
      <c r="V114">
        <v>2</v>
      </c>
      <c r="W114">
        <v>5</v>
      </c>
      <c r="X114">
        <v>0</v>
      </c>
      <c r="Y114">
        <v>10</v>
      </c>
      <c r="AA114">
        <v>6</v>
      </c>
      <c r="AB114">
        <v>7</v>
      </c>
    </row>
    <row r="115" spans="1:28" x14ac:dyDescent="0.4">
      <c r="A115">
        <v>114</v>
      </c>
      <c r="B115">
        <v>114</v>
      </c>
      <c r="C115" t="s">
        <v>39</v>
      </c>
      <c r="D115" t="s">
        <v>180</v>
      </c>
      <c r="E115">
        <v>1</v>
      </c>
      <c r="F115">
        <v>1</v>
      </c>
      <c r="G115">
        <v>3</v>
      </c>
      <c r="H115">
        <v>3</v>
      </c>
      <c r="I115">
        <v>0</v>
      </c>
      <c r="J115">
        <v>17</v>
      </c>
      <c r="K115">
        <v>0</v>
      </c>
      <c r="L115">
        <v>2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3</v>
      </c>
      <c r="S115">
        <v>0</v>
      </c>
      <c r="T115" t="s">
        <v>41</v>
      </c>
      <c r="U115" t="s">
        <v>45</v>
      </c>
      <c r="V115">
        <v>0</v>
      </c>
      <c r="W115">
        <v>12</v>
      </c>
      <c r="X115">
        <v>18</v>
      </c>
      <c r="Y115">
        <v>0</v>
      </c>
      <c r="AA115">
        <v>0</v>
      </c>
      <c r="AB115">
        <v>0</v>
      </c>
    </row>
    <row r="116" spans="1:28" x14ac:dyDescent="0.4">
      <c r="A116">
        <v>115</v>
      </c>
      <c r="B116">
        <v>115</v>
      </c>
      <c r="C116" t="s">
        <v>68</v>
      </c>
      <c r="D116" t="s">
        <v>181</v>
      </c>
      <c r="E116">
        <v>5</v>
      </c>
      <c r="F116">
        <v>7</v>
      </c>
      <c r="G116">
        <v>10</v>
      </c>
      <c r="H116">
        <v>10</v>
      </c>
      <c r="I116">
        <v>2</v>
      </c>
      <c r="J116">
        <v>0</v>
      </c>
      <c r="K116">
        <v>0</v>
      </c>
      <c r="L116">
        <v>1</v>
      </c>
      <c r="M116">
        <v>0</v>
      </c>
      <c r="N116">
        <v>5</v>
      </c>
      <c r="O116">
        <v>0</v>
      </c>
      <c r="P116">
        <v>5</v>
      </c>
      <c r="Q116">
        <v>0</v>
      </c>
      <c r="R116">
        <v>2</v>
      </c>
      <c r="S116">
        <v>1</v>
      </c>
      <c r="T116" t="s">
        <v>56</v>
      </c>
      <c r="U116" t="s">
        <v>45</v>
      </c>
      <c r="V116">
        <v>1</v>
      </c>
      <c r="W116">
        <v>2</v>
      </c>
      <c r="X116">
        <v>0</v>
      </c>
      <c r="Y116">
        <v>2</v>
      </c>
      <c r="AA116">
        <v>3</v>
      </c>
      <c r="AB116">
        <v>5</v>
      </c>
    </row>
    <row r="117" spans="1:28" x14ac:dyDescent="0.4">
      <c r="A117">
        <v>116</v>
      </c>
      <c r="B117">
        <v>116</v>
      </c>
      <c r="C117" t="s">
        <v>86</v>
      </c>
      <c r="D117" t="s">
        <v>182</v>
      </c>
      <c r="E117">
        <v>4</v>
      </c>
      <c r="F117">
        <v>25</v>
      </c>
      <c r="G117">
        <v>19</v>
      </c>
      <c r="H117">
        <v>13</v>
      </c>
      <c r="I117">
        <v>0</v>
      </c>
      <c r="J117">
        <v>9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2</v>
      </c>
      <c r="S117">
        <v>0</v>
      </c>
      <c r="T117" t="s">
        <v>56</v>
      </c>
      <c r="U117" t="s">
        <v>64</v>
      </c>
      <c r="V117">
        <v>0</v>
      </c>
      <c r="W117">
        <v>4</v>
      </c>
      <c r="X117">
        <v>9</v>
      </c>
      <c r="Y117">
        <v>0</v>
      </c>
      <c r="AA117">
        <v>0</v>
      </c>
      <c r="AB117">
        <v>0</v>
      </c>
    </row>
    <row r="118" spans="1:28" x14ac:dyDescent="0.4">
      <c r="A118">
        <v>117</v>
      </c>
      <c r="B118">
        <v>117</v>
      </c>
      <c r="C118" t="s">
        <v>39</v>
      </c>
      <c r="D118" t="s">
        <v>183</v>
      </c>
      <c r="E118">
        <v>1</v>
      </c>
      <c r="F118">
        <v>1</v>
      </c>
      <c r="G118">
        <v>3</v>
      </c>
      <c r="H118">
        <v>3</v>
      </c>
      <c r="I118">
        <v>0</v>
      </c>
      <c r="J118">
        <v>23</v>
      </c>
      <c r="K118">
        <v>0</v>
      </c>
      <c r="L118">
        <v>4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 t="s">
        <v>44</v>
      </c>
      <c r="U118" t="s">
        <v>80</v>
      </c>
      <c r="V118">
        <v>1</v>
      </c>
      <c r="W118">
        <v>18</v>
      </c>
      <c r="X118">
        <v>23</v>
      </c>
      <c r="Y118">
        <v>0</v>
      </c>
      <c r="AA118">
        <v>0</v>
      </c>
      <c r="AB118">
        <v>0</v>
      </c>
    </row>
    <row r="119" spans="1:28" x14ac:dyDescent="0.4">
      <c r="A119">
        <v>118</v>
      </c>
      <c r="B119">
        <v>118</v>
      </c>
      <c r="C119" t="s">
        <v>68</v>
      </c>
      <c r="D119" t="s">
        <v>184</v>
      </c>
      <c r="E119">
        <v>5</v>
      </c>
      <c r="F119">
        <v>7</v>
      </c>
      <c r="G119">
        <v>10</v>
      </c>
      <c r="H119">
        <v>10</v>
      </c>
      <c r="I119">
        <v>2</v>
      </c>
      <c r="J119">
        <v>0</v>
      </c>
      <c r="K119">
        <v>0</v>
      </c>
      <c r="L119">
        <v>0</v>
      </c>
      <c r="M119">
        <v>0</v>
      </c>
      <c r="N119">
        <v>2</v>
      </c>
      <c r="O119">
        <v>0</v>
      </c>
      <c r="P119">
        <v>8</v>
      </c>
      <c r="Q119">
        <v>0</v>
      </c>
      <c r="R119">
        <v>1</v>
      </c>
      <c r="S119">
        <v>1</v>
      </c>
      <c r="T119" t="s">
        <v>56</v>
      </c>
      <c r="U119" t="s">
        <v>80</v>
      </c>
      <c r="V119">
        <v>1</v>
      </c>
      <c r="W119">
        <v>1</v>
      </c>
      <c r="X119">
        <v>0</v>
      </c>
      <c r="Y119">
        <v>15</v>
      </c>
      <c r="AA119">
        <v>4</v>
      </c>
      <c r="AB119">
        <v>9</v>
      </c>
    </row>
    <row r="120" spans="1:28" x14ac:dyDescent="0.4">
      <c r="A120">
        <v>119</v>
      </c>
      <c r="B120">
        <v>119</v>
      </c>
      <c r="C120" t="s">
        <v>34</v>
      </c>
      <c r="D120" t="s">
        <v>185</v>
      </c>
      <c r="E120">
        <v>1</v>
      </c>
      <c r="F120">
        <v>1</v>
      </c>
      <c r="G120">
        <v>2</v>
      </c>
      <c r="H120">
        <v>2</v>
      </c>
      <c r="I120">
        <v>0</v>
      </c>
      <c r="J120">
        <v>4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2</v>
      </c>
      <c r="S120">
        <v>0</v>
      </c>
      <c r="T120" t="s">
        <v>36</v>
      </c>
      <c r="U120" t="s">
        <v>20</v>
      </c>
      <c r="V120">
        <v>0</v>
      </c>
      <c r="W120">
        <v>2</v>
      </c>
      <c r="X120">
        <v>2</v>
      </c>
      <c r="Y120">
        <v>0</v>
      </c>
      <c r="AA120">
        <v>0</v>
      </c>
      <c r="AB120">
        <v>0</v>
      </c>
    </row>
    <row r="121" spans="1:28" x14ac:dyDescent="0.4">
      <c r="A121">
        <v>120</v>
      </c>
      <c r="B121">
        <v>120</v>
      </c>
      <c r="C121" t="s">
        <v>186</v>
      </c>
      <c r="D121" t="s">
        <v>187</v>
      </c>
      <c r="E121">
        <v>14</v>
      </c>
      <c r="F121">
        <v>24</v>
      </c>
      <c r="G121">
        <v>36</v>
      </c>
      <c r="H121">
        <v>30</v>
      </c>
      <c r="I121">
        <v>0</v>
      </c>
      <c r="J121">
        <v>0</v>
      </c>
      <c r="K121">
        <v>0</v>
      </c>
      <c r="L121">
        <v>2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 t="s">
        <v>56</v>
      </c>
      <c r="U121" t="s">
        <v>20</v>
      </c>
      <c r="V121">
        <v>0</v>
      </c>
      <c r="W121">
        <v>1</v>
      </c>
      <c r="X121">
        <v>0</v>
      </c>
      <c r="Y121">
        <v>1</v>
      </c>
      <c r="AA121">
        <v>0</v>
      </c>
      <c r="AB121">
        <v>0</v>
      </c>
    </row>
    <row r="122" spans="1:28" x14ac:dyDescent="0.4">
      <c r="A122">
        <v>121</v>
      </c>
      <c r="B122">
        <v>121</v>
      </c>
      <c r="C122" t="s">
        <v>186</v>
      </c>
      <c r="D122" t="s">
        <v>188</v>
      </c>
      <c r="E122">
        <v>14</v>
      </c>
      <c r="F122">
        <v>24</v>
      </c>
      <c r="G122">
        <v>36</v>
      </c>
      <c r="H122">
        <v>30</v>
      </c>
      <c r="I122">
        <v>0</v>
      </c>
      <c r="J122">
        <v>0</v>
      </c>
      <c r="K122">
        <v>0</v>
      </c>
      <c r="L122">
        <v>3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0</v>
      </c>
      <c r="T122" t="s">
        <v>56</v>
      </c>
      <c r="U122" t="s">
        <v>45</v>
      </c>
      <c r="V122">
        <v>0</v>
      </c>
      <c r="W122">
        <v>1</v>
      </c>
      <c r="X122">
        <v>0</v>
      </c>
      <c r="Y122">
        <v>2</v>
      </c>
      <c r="AA122">
        <v>0</v>
      </c>
      <c r="AB122">
        <v>0</v>
      </c>
    </row>
    <row r="123" spans="1:28" x14ac:dyDescent="0.4">
      <c r="A123">
        <v>122</v>
      </c>
      <c r="B123">
        <v>122</v>
      </c>
      <c r="C123" t="s">
        <v>28</v>
      </c>
      <c r="D123" t="s">
        <v>189</v>
      </c>
      <c r="E123">
        <v>1</v>
      </c>
      <c r="F123">
        <v>1</v>
      </c>
      <c r="G123">
        <v>1</v>
      </c>
      <c r="H123">
        <v>16</v>
      </c>
      <c r="I123">
        <v>0</v>
      </c>
      <c r="J123">
        <v>3</v>
      </c>
      <c r="K123">
        <v>0</v>
      </c>
      <c r="L123">
        <v>10</v>
      </c>
      <c r="M123">
        <v>0</v>
      </c>
      <c r="N123">
        <v>0</v>
      </c>
      <c r="O123">
        <v>1</v>
      </c>
      <c r="P123">
        <v>0</v>
      </c>
      <c r="Q123">
        <v>0</v>
      </c>
      <c r="R123">
        <v>1</v>
      </c>
      <c r="S123">
        <v>0</v>
      </c>
      <c r="T123" t="s">
        <v>30</v>
      </c>
      <c r="U123" t="s">
        <v>64</v>
      </c>
      <c r="V123">
        <v>0</v>
      </c>
      <c r="W123">
        <v>2</v>
      </c>
      <c r="X123">
        <v>3</v>
      </c>
      <c r="Y123">
        <v>2</v>
      </c>
      <c r="AA123">
        <v>0</v>
      </c>
      <c r="AB123">
        <v>0</v>
      </c>
    </row>
    <row r="124" spans="1:28" x14ac:dyDescent="0.4">
      <c r="A124">
        <v>123</v>
      </c>
      <c r="B124">
        <v>123</v>
      </c>
      <c r="C124" t="s">
        <v>34</v>
      </c>
      <c r="D124" t="s">
        <v>190</v>
      </c>
      <c r="E124">
        <v>1</v>
      </c>
      <c r="F124">
        <v>1</v>
      </c>
      <c r="G124">
        <v>2</v>
      </c>
      <c r="H124">
        <v>2</v>
      </c>
      <c r="I124">
        <v>0</v>
      </c>
      <c r="J124">
        <v>10</v>
      </c>
      <c r="K124">
        <v>0</v>
      </c>
      <c r="L124">
        <v>2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3</v>
      </c>
      <c r="S124">
        <v>0</v>
      </c>
      <c r="T124" t="s">
        <v>36</v>
      </c>
      <c r="U124" t="s">
        <v>64</v>
      </c>
      <c r="V124">
        <v>0</v>
      </c>
      <c r="W124">
        <v>4</v>
      </c>
      <c r="X124">
        <v>5</v>
      </c>
      <c r="Y124">
        <v>0</v>
      </c>
      <c r="AA124">
        <v>0</v>
      </c>
      <c r="AB124">
        <v>0</v>
      </c>
    </row>
    <row r="125" spans="1:28" x14ac:dyDescent="0.4">
      <c r="A125">
        <v>124</v>
      </c>
      <c r="B125">
        <v>124</v>
      </c>
      <c r="C125" t="s">
        <v>76</v>
      </c>
      <c r="D125" t="s">
        <v>191</v>
      </c>
      <c r="E125">
        <v>5</v>
      </c>
      <c r="F125">
        <v>8</v>
      </c>
      <c r="G125">
        <v>13</v>
      </c>
      <c r="H125">
        <v>11</v>
      </c>
      <c r="I125">
        <v>0</v>
      </c>
      <c r="J125">
        <v>3</v>
      </c>
      <c r="K125">
        <v>0</v>
      </c>
      <c r="L125">
        <v>7</v>
      </c>
      <c r="M125">
        <v>0</v>
      </c>
      <c r="N125">
        <v>0</v>
      </c>
      <c r="O125">
        <v>0</v>
      </c>
      <c r="P125">
        <v>9</v>
      </c>
      <c r="Q125">
        <v>0</v>
      </c>
      <c r="R125">
        <v>10</v>
      </c>
      <c r="S125">
        <v>0</v>
      </c>
      <c r="T125" t="s">
        <v>56</v>
      </c>
      <c r="U125" t="s">
        <v>80</v>
      </c>
      <c r="V125">
        <v>0</v>
      </c>
      <c r="W125">
        <v>0</v>
      </c>
      <c r="X125">
        <v>27</v>
      </c>
      <c r="Y125">
        <v>29</v>
      </c>
      <c r="AA125">
        <v>0</v>
      </c>
      <c r="AB125">
        <v>0</v>
      </c>
    </row>
    <row r="126" spans="1:28" x14ac:dyDescent="0.4">
      <c r="A126">
        <v>125</v>
      </c>
      <c r="B126">
        <v>125</v>
      </c>
      <c r="C126" t="s">
        <v>50</v>
      </c>
      <c r="D126" t="s">
        <v>192</v>
      </c>
      <c r="E126">
        <v>2</v>
      </c>
      <c r="F126">
        <v>3</v>
      </c>
      <c r="G126">
        <v>5</v>
      </c>
      <c r="H126">
        <v>5</v>
      </c>
      <c r="I126">
        <v>0</v>
      </c>
      <c r="J126">
        <v>0</v>
      </c>
      <c r="K126">
        <v>8</v>
      </c>
      <c r="L126">
        <v>0</v>
      </c>
      <c r="M126">
        <v>1</v>
      </c>
      <c r="N126">
        <v>0</v>
      </c>
      <c r="O126">
        <v>1</v>
      </c>
      <c r="P126">
        <v>0</v>
      </c>
      <c r="Q126">
        <v>0</v>
      </c>
      <c r="R126">
        <v>0</v>
      </c>
      <c r="S126">
        <v>0</v>
      </c>
      <c r="T126" t="s">
        <v>30</v>
      </c>
      <c r="U126" t="s">
        <v>45</v>
      </c>
      <c r="V126">
        <v>2</v>
      </c>
      <c r="W126">
        <v>2</v>
      </c>
      <c r="X126">
        <v>1</v>
      </c>
      <c r="Y126">
        <v>0</v>
      </c>
      <c r="AA126">
        <v>0</v>
      </c>
      <c r="AB126">
        <v>0</v>
      </c>
    </row>
    <row r="127" spans="1:28" x14ac:dyDescent="0.4">
      <c r="A127">
        <v>126</v>
      </c>
      <c r="B127">
        <v>126</v>
      </c>
      <c r="C127" t="s">
        <v>193</v>
      </c>
      <c r="D127" t="s">
        <v>194</v>
      </c>
      <c r="E127">
        <v>15</v>
      </c>
      <c r="F127">
        <v>26</v>
      </c>
      <c r="G127">
        <v>37</v>
      </c>
      <c r="H127">
        <v>31</v>
      </c>
      <c r="I127">
        <v>0</v>
      </c>
      <c r="J127">
        <v>1</v>
      </c>
      <c r="K127">
        <v>0</v>
      </c>
      <c r="L127">
        <v>0</v>
      </c>
      <c r="M127">
        <v>-1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 t="s">
        <v>30</v>
      </c>
      <c r="U127" t="s">
        <v>80</v>
      </c>
      <c r="V127">
        <v>1</v>
      </c>
      <c r="W127">
        <v>4</v>
      </c>
      <c r="X127">
        <v>2</v>
      </c>
      <c r="Y127">
        <v>1</v>
      </c>
      <c r="AA127">
        <v>0</v>
      </c>
      <c r="AB127">
        <v>0</v>
      </c>
    </row>
    <row r="128" spans="1:28" x14ac:dyDescent="0.4">
      <c r="A128">
        <v>127</v>
      </c>
      <c r="B128">
        <v>127</v>
      </c>
      <c r="C128" t="s">
        <v>158</v>
      </c>
      <c r="D128" t="s">
        <v>195</v>
      </c>
      <c r="E128">
        <v>2</v>
      </c>
      <c r="F128">
        <v>3</v>
      </c>
      <c r="G128">
        <v>32</v>
      </c>
      <c r="H128">
        <v>5</v>
      </c>
      <c r="I128">
        <v>0</v>
      </c>
      <c r="J128">
        <v>0</v>
      </c>
      <c r="K128">
        <v>14</v>
      </c>
      <c r="L128">
        <v>0</v>
      </c>
      <c r="M128">
        <v>0</v>
      </c>
      <c r="N128">
        <v>0</v>
      </c>
      <c r="O128">
        <v>2</v>
      </c>
      <c r="P128">
        <v>0</v>
      </c>
      <c r="Q128">
        <v>0</v>
      </c>
      <c r="R128">
        <v>7</v>
      </c>
      <c r="S128">
        <v>0</v>
      </c>
      <c r="T128" t="s">
        <v>30</v>
      </c>
      <c r="U128" t="s">
        <v>113</v>
      </c>
      <c r="V128">
        <v>2</v>
      </c>
      <c r="W128">
        <v>2</v>
      </c>
      <c r="X128">
        <v>1</v>
      </c>
      <c r="Y128">
        <v>1</v>
      </c>
      <c r="AA128">
        <v>0</v>
      </c>
      <c r="AB128">
        <v>0</v>
      </c>
    </row>
    <row r="129" spans="1:28" x14ac:dyDescent="0.4">
      <c r="A129">
        <v>128</v>
      </c>
      <c r="B129">
        <v>128</v>
      </c>
      <c r="C129" t="s">
        <v>39</v>
      </c>
      <c r="D129" t="s">
        <v>196</v>
      </c>
      <c r="E129">
        <v>1</v>
      </c>
      <c r="F129">
        <v>1</v>
      </c>
      <c r="G129">
        <v>3</v>
      </c>
      <c r="H129">
        <v>3</v>
      </c>
      <c r="I129">
        <v>0</v>
      </c>
      <c r="J129">
        <v>30</v>
      </c>
      <c r="K129">
        <v>0</v>
      </c>
      <c r="L129">
        <v>5</v>
      </c>
      <c r="M129">
        <v>0</v>
      </c>
      <c r="N129">
        <v>0</v>
      </c>
      <c r="O129">
        <v>-1</v>
      </c>
      <c r="P129">
        <v>0</v>
      </c>
      <c r="Q129">
        <v>0</v>
      </c>
      <c r="R129">
        <v>1</v>
      </c>
      <c r="S129">
        <v>0</v>
      </c>
      <c r="T129" t="s">
        <v>44</v>
      </c>
      <c r="U129" t="s">
        <v>113</v>
      </c>
      <c r="V129">
        <v>0</v>
      </c>
      <c r="W129">
        <v>30</v>
      </c>
      <c r="X129">
        <v>28</v>
      </c>
      <c r="Y129">
        <v>0</v>
      </c>
      <c r="AA129">
        <v>0</v>
      </c>
      <c r="AB129">
        <v>0</v>
      </c>
    </row>
    <row r="130" spans="1:28" x14ac:dyDescent="0.4">
      <c r="A130">
        <v>129</v>
      </c>
      <c r="B130">
        <v>129</v>
      </c>
      <c r="C130" t="s">
        <v>197</v>
      </c>
      <c r="D130" t="s">
        <v>198</v>
      </c>
      <c r="E130">
        <v>16</v>
      </c>
      <c r="F130">
        <v>27</v>
      </c>
      <c r="G130">
        <v>39</v>
      </c>
      <c r="H130">
        <v>32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3</v>
      </c>
      <c r="P130">
        <v>2</v>
      </c>
      <c r="Q130">
        <v>0</v>
      </c>
      <c r="R130">
        <v>2</v>
      </c>
      <c r="S130">
        <v>0</v>
      </c>
      <c r="T130" t="s">
        <v>56</v>
      </c>
      <c r="U130" t="s">
        <v>64</v>
      </c>
      <c r="V130">
        <v>1</v>
      </c>
      <c r="W130">
        <v>0</v>
      </c>
      <c r="X130">
        <v>0</v>
      </c>
      <c r="Y130">
        <v>0</v>
      </c>
      <c r="AA130">
        <v>0</v>
      </c>
      <c r="AB130">
        <v>0</v>
      </c>
    </row>
    <row r="131" spans="1:28" x14ac:dyDescent="0.4">
      <c r="A131">
        <v>130</v>
      </c>
      <c r="B131">
        <v>130</v>
      </c>
      <c r="C131" t="s">
        <v>46</v>
      </c>
      <c r="D131" t="s">
        <v>199</v>
      </c>
      <c r="E131">
        <v>1</v>
      </c>
      <c r="F131">
        <v>2</v>
      </c>
      <c r="G131">
        <v>4</v>
      </c>
      <c r="H131">
        <v>16</v>
      </c>
      <c r="I131">
        <v>0</v>
      </c>
      <c r="J131">
        <v>1</v>
      </c>
      <c r="K131">
        <v>0</v>
      </c>
      <c r="L131">
        <v>8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1</v>
      </c>
      <c r="S131">
        <v>0</v>
      </c>
      <c r="T131" t="s">
        <v>30</v>
      </c>
      <c r="U131" t="s">
        <v>64</v>
      </c>
      <c r="V131">
        <v>0</v>
      </c>
      <c r="W131">
        <v>2</v>
      </c>
      <c r="X131">
        <v>3</v>
      </c>
      <c r="Y131">
        <v>2</v>
      </c>
      <c r="AA131">
        <v>0</v>
      </c>
      <c r="AB131">
        <v>0</v>
      </c>
    </row>
    <row r="132" spans="1:28" x14ac:dyDescent="0.4">
      <c r="A132">
        <v>131</v>
      </c>
      <c r="B132">
        <v>131</v>
      </c>
      <c r="C132" t="s">
        <v>88</v>
      </c>
      <c r="D132" t="s">
        <v>200</v>
      </c>
      <c r="E132">
        <v>4</v>
      </c>
      <c r="F132">
        <v>6</v>
      </c>
      <c r="G132">
        <v>21</v>
      </c>
      <c r="H132">
        <v>15</v>
      </c>
      <c r="I132">
        <v>0</v>
      </c>
      <c r="J132">
        <v>0</v>
      </c>
      <c r="K132">
        <v>0</v>
      </c>
      <c r="L132">
        <v>9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0</v>
      </c>
      <c r="S132">
        <v>0</v>
      </c>
      <c r="T132" t="s">
        <v>56</v>
      </c>
      <c r="U132" t="s">
        <v>64</v>
      </c>
      <c r="V132">
        <v>0</v>
      </c>
      <c r="W132">
        <v>5</v>
      </c>
      <c r="X132">
        <v>2</v>
      </c>
      <c r="Y132">
        <v>1</v>
      </c>
      <c r="AA132">
        <v>0</v>
      </c>
      <c r="AB132">
        <v>0</v>
      </c>
    </row>
    <row r="133" spans="1:28" x14ac:dyDescent="0.4">
      <c r="A133">
        <v>132</v>
      </c>
      <c r="B133">
        <v>132</v>
      </c>
      <c r="C133" t="s">
        <v>201</v>
      </c>
      <c r="D133" t="s">
        <v>202</v>
      </c>
      <c r="E133">
        <v>7</v>
      </c>
      <c r="F133">
        <v>10</v>
      </c>
      <c r="G133">
        <v>40</v>
      </c>
      <c r="H133">
        <v>18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11</v>
      </c>
      <c r="O133">
        <v>1</v>
      </c>
      <c r="P133">
        <v>1</v>
      </c>
      <c r="Q133">
        <v>0</v>
      </c>
      <c r="R133">
        <v>1</v>
      </c>
      <c r="S133">
        <v>0</v>
      </c>
      <c r="T133" t="s">
        <v>56</v>
      </c>
      <c r="U133" t="s">
        <v>64</v>
      </c>
      <c r="V133">
        <v>0</v>
      </c>
      <c r="W133">
        <v>0</v>
      </c>
      <c r="X133">
        <v>3</v>
      </c>
      <c r="Y133">
        <v>3</v>
      </c>
      <c r="AA133">
        <v>0</v>
      </c>
      <c r="AB133">
        <v>0</v>
      </c>
    </row>
    <row r="134" spans="1:28" x14ac:dyDescent="0.4">
      <c r="A134">
        <v>133</v>
      </c>
      <c r="B134">
        <v>133</v>
      </c>
      <c r="C134" t="s">
        <v>39</v>
      </c>
      <c r="D134" t="s">
        <v>203</v>
      </c>
      <c r="E134">
        <v>1</v>
      </c>
      <c r="F134">
        <v>1</v>
      </c>
      <c r="G134">
        <v>3</v>
      </c>
      <c r="H134">
        <v>3</v>
      </c>
      <c r="I134">
        <v>0</v>
      </c>
      <c r="J134">
        <v>20</v>
      </c>
      <c r="K134">
        <v>0</v>
      </c>
      <c r="L134">
        <v>2</v>
      </c>
      <c r="M134">
        <v>0</v>
      </c>
      <c r="N134">
        <v>0</v>
      </c>
      <c r="O134">
        <v>-1</v>
      </c>
      <c r="P134">
        <v>0</v>
      </c>
      <c r="Q134">
        <v>0</v>
      </c>
      <c r="R134">
        <v>-3</v>
      </c>
      <c r="S134">
        <v>0</v>
      </c>
      <c r="T134" t="s">
        <v>44</v>
      </c>
      <c r="U134" t="s">
        <v>80</v>
      </c>
      <c r="V134">
        <v>0</v>
      </c>
      <c r="W134">
        <v>16</v>
      </c>
      <c r="X134">
        <v>21</v>
      </c>
      <c r="Y134">
        <v>0</v>
      </c>
      <c r="AA134">
        <v>0</v>
      </c>
      <c r="AB134">
        <v>0</v>
      </c>
    </row>
    <row r="135" spans="1:28" x14ac:dyDescent="0.4">
      <c r="A135">
        <v>134</v>
      </c>
      <c r="B135">
        <v>134</v>
      </c>
      <c r="C135" t="s">
        <v>46</v>
      </c>
      <c r="D135" t="s">
        <v>204</v>
      </c>
      <c r="E135">
        <v>1</v>
      </c>
      <c r="F135">
        <v>2</v>
      </c>
      <c r="G135">
        <v>4</v>
      </c>
      <c r="H135">
        <v>4</v>
      </c>
      <c r="I135">
        <v>0</v>
      </c>
      <c r="J135">
        <v>8</v>
      </c>
      <c r="K135">
        <v>0</v>
      </c>
      <c r="L135">
        <v>2</v>
      </c>
      <c r="M135">
        <v>1</v>
      </c>
      <c r="N135">
        <v>0</v>
      </c>
      <c r="O135">
        <v>0</v>
      </c>
      <c r="P135">
        <v>0</v>
      </c>
      <c r="Q135">
        <v>0</v>
      </c>
      <c r="R135">
        <v>1</v>
      </c>
      <c r="S135">
        <v>0</v>
      </c>
      <c r="T135" t="s">
        <v>36</v>
      </c>
      <c r="U135" t="s">
        <v>64</v>
      </c>
      <c r="V135">
        <v>0</v>
      </c>
      <c r="W135">
        <v>2</v>
      </c>
      <c r="X135">
        <v>5</v>
      </c>
      <c r="Y135">
        <v>0</v>
      </c>
      <c r="AA135">
        <v>0</v>
      </c>
      <c r="AB135">
        <v>0</v>
      </c>
    </row>
    <row r="136" spans="1:28" x14ac:dyDescent="0.4">
      <c r="A136">
        <v>135</v>
      </c>
      <c r="B136">
        <v>135</v>
      </c>
      <c r="C136" t="s">
        <v>46</v>
      </c>
      <c r="D136" t="s">
        <v>205</v>
      </c>
      <c r="E136">
        <v>1</v>
      </c>
      <c r="F136">
        <v>2</v>
      </c>
      <c r="G136">
        <v>4</v>
      </c>
      <c r="H136">
        <v>16</v>
      </c>
      <c r="I136">
        <v>0</v>
      </c>
      <c r="J136">
        <v>1</v>
      </c>
      <c r="K136">
        <v>0</v>
      </c>
      <c r="L136">
        <v>8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1</v>
      </c>
      <c r="S136">
        <v>0</v>
      </c>
      <c r="T136" t="s">
        <v>30</v>
      </c>
      <c r="U136" t="s">
        <v>64</v>
      </c>
      <c r="V136">
        <v>0</v>
      </c>
      <c r="W136">
        <v>1</v>
      </c>
      <c r="X136">
        <v>3</v>
      </c>
      <c r="Y136">
        <v>0</v>
      </c>
      <c r="AA136">
        <v>0</v>
      </c>
      <c r="AB136">
        <v>0</v>
      </c>
    </row>
    <row r="137" spans="1:28" x14ac:dyDescent="0.4">
      <c r="A137">
        <v>136</v>
      </c>
      <c r="B137">
        <v>136</v>
      </c>
      <c r="C137" t="s">
        <v>134</v>
      </c>
      <c r="D137" t="s">
        <v>206</v>
      </c>
      <c r="E137">
        <v>6</v>
      </c>
      <c r="F137">
        <v>17</v>
      </c>
      <c r="G137">
        <v>28</v>
      </c>
      <c r="H137">
        <v>23</v>
      </c>
      <c r="I137">
        <v>0</v>
      </c>
      <c r="J137">
        <v>0</v>
      </c>
      <c r="K137">
        <v>0</v>
      </c>
      <c r="L137">
        <v>0</v>
      </c>
      <c r="M137">
        <v>7</v>
      </c>
      <c r="N137">
        <v>0</v>
      </c>
      <c r="O137">
        <v>-1</v>
      </c>
      <c r="P137">
        <v>0</v>
      </c>
      <c r="Q137">
        <v>0</v>
      </c>
      <c r="R137">
        <v>0</v>
      </c>
      <c r="S137">
        <v>0</v>
      </c>
      <c r="T137" t="s">
        <v>56</v>
      </c>
      <c r="U137" t="s">
        <v>64</v>
      </c>
      <c r="V137">
        <v>0</v>
      </c>
      <c r="W137">
        <v>0</v>
      </c>
      <c r="X137">
        <v>24</v>
      </c>
      <c r="Y137">
        <v>4</v>
      </c>
      <c r="AA137">
        <v>0</v>
      </c>
      <c r="AB137">
        <v>0</v>
      </c>
    </row>
    <row r="138" spans="1:28" x14ac:dyDescent="0.4">
      <c r="A138">
        <v>137</v>
      </c>
      <c r="B138">
        <v>137</v>
      </c>
      <c r="C138" t="s">
        <v>39</v>
      </c>
      <c r="D138" t="s">
        <v>207</v>
      </c>
      <c r="E138">
        <v>1</v>
      </c>
      <c r="F138">
        <v>1</v>
      </c>
      <c r="G138">
        <v>3</v>
      </c>
      <c r="H138">
        <v>3</v>
      </c>
      <c r="I138">
        <v>0</v>
      </c>
      <c r="J138">
        <v>21</v>
      </c>
      <c r="K138">
        <v>0</v>
      </c>
      <c r="L138">
        <v>4</v>
      </c>
      <c r="M138">
        <v>0</v>
      </c>
      <c r="N138">
        <v>0</v>
      </c>
      <c r="O138">
        <v>-1</v>
      </c>
      <c r="P138">
        <v>0</v>
      </c>
      <c r="Q138">
        <v>0</v>
      </c>
      <c r="R138">
        <v>-1</v>
      </c>
      <c r="S138">
        <v>0</v>
      </c>
      <c r="T138" t="s">
        <v>44</v>
      </c>
      <c r="U138" t="s">
        <v>113</v>
      </c>
      <c r="V138">
        <v>0</v>
      </c>
      <c r="W138">
        <v>16</v>
      </c>
      <c r="X138">
        <v>22</v>
      </c>
      <c r="Y138">
        <v>1</v>
      </c>
      <c r="AA138">
        <v>0</v>
      </c>
      <c r="AB138">
        <v>0</v>
      </c>
    </row>
    <row r="139" spans="1:28" x14ac:dyDescent="0.4">
      <c r="A139">
        <v>138</v>
      </c>
      <c r="B139">
        <v>138</v>
      </c>
      <c r="C139" t="s">
        <v>208</v>
      </c>
      <c r="D139" t="s">
        <v>209</v>
      </c>
      <c r="E139">
        <v>17</v>
      </c>
      <c r="F139">
        <v>33</v>
      </c>
      <c r="G139">
        <v>41</v>
      </c>
      <c r="H139">
        <v>33</v>
      </c>
      <c r="I139">
        <v>19</v>
      </c>
      <c r="J139">
        <v>0</v>
      </c>
      <c r="K139">
        <v>0</v>
      </c>
      <c r="L139">
        <v>0</v>
      </c>
      <c r="M139">
        <v>0</v>
      </c>
      <c r="N139">
        <v>1</v>
      </c>
      <c r="O139">
        <v>0</v>
      </c>
      <c r="P139">
        <v>12</v>
      </c>
      <c r="Q139">
        <v>0</v>
      </c>
      <c r="R139">
        <v>1</v>
      </c>
      <c r="S139">
        <v>0</v>
      </c>
      <c r="T139" t="s">
        <v>56</v>
      </c>
      <c r="U139" t="s">
        <v>80</v>
      </c>
      <c r="V139">
        <v>9</v>
      </c>
      <c r="W139">
        <v>2</v>
      </c>
      <c r="X139">
        <v>0</v>
      </c>
      <c r="Y139">
        <v>26</v>
      </c>
      <c r="AA139">
        <v>20</v>
      </c>
      <c r="AB139">
        <v>25</v>
      </c>
    </row>
    <row r="140" spans="1:28" x14ac:dyDescent="0.4">
      <c r="A140">
        <v>139</v>
      </c>
      <c r="B140">
        <v>139</v>
      </c>
      <c r="C140" t="s">
        <v>34</v>
      </c>
      <c r="D140" t="s">
        <v>210</v>
      </c>
      <c r="E140">
        <v>1</v>
      </c>
      <c r="F140">
        <v>1</v>
      </c>
      <c r="G140">
        <v>2</v>
      </c>
      <c r="H140">
        <v>2</v>
      </c>
      <c r="I140">
        <v>0</v>
      </c>
      <c r="J140">
        <v>6</v>
      </c>
      <c r="K140">
        <v>0</v>
      </c>
      <c r="L140">
        <v>3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4</v>
      </c>
      <c r="S140">
        <v>0</v>
      </c>
      <c r="T140" t="s">
        <v>36</v>
      </c>
      <c r="U140" t="s">
        <v>64</v>
      </c>
      <c r="V140">
        <v>0</v>
      </c>
      <c r="W140">
        <v>2</v>
      </c>
      <c r="X140">
        <v>3</v>
      </c>
      <c r="Y140">
        <v>1</v>
      </c>
      <c r="AA140">
        <v>0</v>
      </c>
      <c r="AB140">
        <v>0</v>
      </c>
    </row>
    <row r="141" spans="1:28" x14ac:dyDescent="0.4">
      <c r="A141">
        <v>140</v>
      </c>
      <c r="B141">
        <v>140</v>
      </c>
      <c r="C141" t="s">
        <v>211</v>
      </c>
      <c r="D141" t="s">
        <v>212</v>
      </c>
      <c r="E141">
        <v>8</v>
      </c>
      <c r="F141">
        <v>18</v>
      </c>
      <c r="G141">
        <v>42</v>
      </c>
      <c r="H141">
        <v>24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3</v>
      </c>
      <c r="Q141">
        <v>0</v>
      </c>
      <c r="R141">
        <v>0</v>
      </c>
      <c r="S141">
        <v>0</v>
      </c>
      <c r="T141" t="s">
        <v>56</v>
      </c>
      <c r="U141" t="s">
        <v>64</v>
      </c>
      <c r="V141">
        <v>0</v>
      </c>
      <c r="W141">
        <v>0</v>
      </c>
      <c r="X141">
        <v>1</v>
      </c>
      <c r="Y141">
        <v>3</v>
      </c>
      <c r="AA141">
        <v>0</v>
      </c>
      <c r="AB141">
        <v>0</v>
      </c>
    </row>
    <row r="142" spans="1:28" x14ac:dyDescent="0.4">
      <c r="A142">
        <v>141</v>
      </c>
      <c r="B142">
        <v>141</v>
      </c>
      <c r="C142" t="s">
        <v>76</v>
      </c>
      <c r="D142" t="s">
        <v>213</v>
      </c>
      <c r="E142">
        <v>5</v>
      </c>
      <c r="F142">
        <v>8</v>
      </c>
      <c r="G142">
        <v>13</v>
      </c>
      <c r="H142">
        <v>11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11</v>
      </c>
      <c r="Q142">
        <v>0</v>
      </c>
      <c r="R142">
        <v>9</v>
      </c>
      <c r="S142">
        <v>0</v>
      </c>
      <c r="T142" t="s">
        <v>56</v>
      </c>
      <c r="U142" t="s">
        <v>80</v>
      </c>
      <c r="V142">
        <v>0</v>
      </c>
      <c r="W142">
        <v>0</v>
      </c>
      <c r="X142">
        <v>22</v>
      </c>
      <c r="Y142">
        <v>26</v>
      </c>
      <c r="AA142">
        <v>0</v>
      </c>
      <c r="AB142">
        <v>0</v>
      </c>
    </row>
    <row r="143" spans="1:28" x14ac:dyDescent="0.4">
      <c r="A143">
        <v>142</v>
      </c>
      <c r="B143">
        <v>142</v>
      </c>
      <c r="C143" t="s">
        <v>76</v>
      </c>
      <c r="D143" t="s">
        <v>214</v>
      </c>
      <c r="E143">
        <v>5</v>
      </c>
      <c r="F143">
        <v>8</v>
      </c>
      <c r="G143">
        <v>13</v>
      </c>
      <c r="H143">
        <v>11</v>
      </c>
      <c r="I143">
        <v>0</v>
      </c>
      <c r="J143">
        <v>1</v>
      </c>
      <c r="K143">
        <v>0</v>
      </c>
      <c r="L143">
        <v>8</v>
      </c>
      <c r="M143">
        <v>1</v>
      </c>
      <c r="N143">
        <v>0</v>
      </c>
      <c r="O143">
        <v>1</v>
      </c>
      <c r="P143">
        <v>7</v>
      </c>
      <c r="Q143">
        <v>0</v>
      </c>
      <c r="R143">
        <v>9</v>
      </c>
      <c r="S143">
        <v>0</v>
      </c>
      <c r="T143" t="s">
        <v>56</v>
      </c>
      <c r="U143" t="s">
        <v>80</v>
      </c>
      <c r="V143">
        <v>0</v>
      </c>
      <c r="W143">
        <v>0</v>
      </c>
      <c r="X143">
        <v>26</v>
      </c>
      <c r="Y143">
        <v>28</v>
      </c>
      <c r="AA143">
        <v>0</v>
      </c>
      <c r="AB143">
        <v>0</v>
      </c>
    </row>
    <row r="144" spans="1:28" x14ac:dyDescent="0.4">
      <c r="A144">
        <v>143</v>
      </c>
      <c r="B144">
        <v>143</v>
      </c>
      <c r="C144" t="s">
        <v>54</v>
      </c>
      <c r="D144" t="s">
        <v>215</v>
      </c>
      <c r="E144">
        <v>3</v>
      </c>
      <c r="F144">
        <v>5</v>
      </c>
      <c r="G144">
        <v>8</v>
      </c>
      <c r="H144">
        <v>8</v>
      </c>
      <c r="I144">
        <v>1</v>
      </c>
      <c r="J144">
        <v>0</v>
      </c>
      <c r="K144">
        <v>12</v>
      </c>
      <c r="L144">
        <v>1</v>
      </c>
      <c r="M144">
        <v>0</v>
      </c>
      <c r="N144">
        <v>5</v>
      </c>
      <c r="O144">
        <v>0</v>
      </c>
      <c r="P144">
        <v>4</v>
      </c>
      <c r="Q144">
        <v>0</v>
      </c>
      <c r="R144">
        <v>2</v>
      </c>
      <c r="S144">
        <v>0</v>
      </c>
      <c r="T144" t="s">
        <v>56</v>
      </c>
      <c r="U144" t="s">
        <v>80</v>
      </c>
      <c r="V144">
        <v>1</v>
      </c>
      <c r="W144">
        <v>1</v>
      </c>
      <c r="X144">
        <v>0</v>
      </c>
      <c r="Y144">
        <v>2</v>
      </c>
      <c r="AA144">
        <v>4</v>
      </c>
      <c r="AB144">
        <v>5</v>
      </c>
    </row>
    <row r="145" spans="1:28" x14ac:dyDescent="0.4">
      <c r="A145">
        <v>144</v>
      </c>
      <c r="B145">
        <v>144</v>
      </c>
      <c r="C145" t="s">
        <v>54</v>
      </c>
      <c r="D145" t="s">
        <v>685</v>
      </c>
      <c r="E145">
        <v>3</v>
      </c>
      <c r="F145">
        <v>5</v>
      </c>
      <c r="G145">
        <v>8</v>
      </c>
      <c r="H145">
        <v>8</v>
      </c>
      <c r="I145">
        <v>1</v>
      </c>
      <c r="J145">
        <v>0</v>
      </c>
      <c r="K145">
        <v>15</v>
      </c>
      <c r="L145">
        <v>1</v>
      </c>
      <c r="M145">
        <v>0</v>
      </c>
      <c r="N145">
        <v>6</v>
      </c>
      <c r="O145">
        <v>0</v>
      </c>
      <c r="P145">
        <v>4</v>
      </c>
      <c r="Q145">
        <v>0</v>
      </c>
      <c r="R145">
        <v>2</v>
      </c>
      <c r="S145">
        <v>0</v>
      </c>
      <c r="T145" t="s">
        <v>56</v>
      </c>
      <c r="U145" t="s">
        <v>113</v>
      </c>
      <c r="V145">
        <v>2</v>
      </c>
      <c r="W145">
        <v>4</v>
      </c>
      <c r="X145">
        <v>0</v>
      </c>
      <c r="Y145">
        <v>4</v>
      </c>
      <c r="AA145">
        <v>5</v>
      </c>
      <c r="AB145">
        <v>6</v>
      </c>
    </row>
    <row r="146" spans="1:28" x14ac:dyDescent="0.4">
      <c r="A146">
        <v>145</v>
      </c>
      <c r="B146">
        <v>145</v>
      </c>
      <c r="C146" t="s">
        <v>217</v>
      </c>
      <c r="D146" t="s">
        <v>217</v>
      </c>
      <c r="E146">
        <v>18</v>
      </c>
      <c r="F146">
        <v>34</v>
      </c>
      <c r="G146">
        <v>43</v>
      </c>
      <c r="H146">
        <v>34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56</v>
      </c>
      <c r="U146" t="s">
        <v>20</v>
      </c>
      <c r="V146">
        <v>1</v>
      </c>
      <c r="W146">
        <v>0</v>
      </c>
      <c r="X146">
        <v>0</v>
      </c>
      <c r="Y146">
        <v>0</v>
      </c>
      <c r="AA146">
        <v>0</v>
      </c>
      <c r="AB146">
        <v>0</v>
      </c>
    </row>
    <row r="147" spans="1:28" x14ac:dyDescent="0.4">
      <c r="A147">
        <v>146</v>
      </c>
      <c r="B147">
        <v>146</v>
      </c>
      <c r="C147" t="s">
        <v>218</v>
      </c>
      <c r="D147" t="s">
        <v>219</v>
      </c>
      <c r="E147">
        <v>19</v>
      </c>
      <c r="F147">
        <v>35</v>
      </c>
      <c r="G147">
        <v>44</v>
      </c>
      <c r="H147">
        <v>35</v>
      </c>
      <c r="I147">
        <v>0</v>
      </c>
      <c r="J147">
        <v>0</v>
      </c>
      <c r="K147">
        <v>0</v>
      </c>
      <c r="L147">
        <v>0</v>
      </c>
      <c r="M147">
        <v>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 t="s">
        <v>56</v>
      </c>
      <c r="U147" t="s">
        <v>45</v>
      </c>
      <c r="V147">
        <v>30</v>
      </c>
      <c r="W147">
        <v>30</v>
      </c>
      <c r="X147">
        <v>0</v>
      </c>
      <c r="Y147">
        <v>0</v>
      </c>
      <c r="AA147">
        <v>0</v>
      </c>
      <c r="AB147">
        <v>0</v>
      </c>
    </row>
    <row r="148" spans="1:28" x14ac:dyDescent="0.4">
      <c r="A148">
        <v>147</v>
      </c>
      <c r="B148">
        <v>147</v>
      </c>
      <c r="C148" t="s">
        <v>28</v>
      </c>
      <c r="D148" t="s">
        <v>220</v>
      </c>
      <c r="E148">
        <v>1</v>
      </c>
      <c r="F148">
        <v>1</v>
      </c>
      <c r="G148">
        <v>1</v>
      </c>
      <c r="H148">
        <v>1</v>
      </c>
      <c r="I148">
        <v>0</v>
      </c>
      <c r="J148">
        <v>3</v>
      </c>
      <c r="K148">
        <v>0</v>
      </c>
      <c r="L148">
        <v>2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1</v>
      </c>
      <c r="S148">
        <v>0</v>
      </c>
      <c r="T148" t="s">
        <v>30</v>
      </c>
      <c r="U148" t="s">
        <v>45</v>
      </c>
      <c r="V148">
        <v>0</v>
      </c>
      <c r="W148">
        <v>1</v>
      </c>
      <c r="X148">
        <v>2</v>
      </c>
      <c r="Y148">
        <v>0</v>
      </c>
      <c r="AA148">
        <v>0</v>
      </c>
      <c r="AB148">
        <v>0</v>
      </c>
    </row>
    <row r="149" spans="1:28" x14ac:dyDescent="0.4">
      <c r="A149">
        <v>148</v>
      </c>
      <c r="B149">
        <v>148</v>
      </c>
      <c r="C149" t="s">
        <v>65</v>
      </c>
      <c r="D149" t="s">
        <v>221</v>
      </c>
      <c r="E149">
        <v>3</v>
      </c>
      <c r="F149">
        <v>5</v>
      </c>
      <c r="G149">
        <v>7</v>
      </c>
      <c r="H149">
        <v>7</v>
      </c>
      <c r="I149">
        <v>24</v>
      </c>
      <c r="J149">
        <v>0</v>
      </c>
      <c r="K149">
        <v>0</v>
      </c>
      <c r="L149">
        <v>1</v>
      </c>
      <c r="M149">
        <v>0</v>
      </c>
      <c r="N149">
        <v>4</v>
      </c>
      <c r="O149">
        <v>0</v>
      </c>
      <c r="P149">
        <v>2</v>
      </c>
      <c r="Q149">
        <v>0</v>
      </c>
      <c r="R149">
        <v>0</v>
      </c>
      <c r="S149">
        <v>11</v>
      </c>
      <c r="T149" t="s">
        <v>56</v>
      </c>
      <c r="U149" t="s">
        <v>113</v>
      </c>
      <c r="V149">
        <v>4</v>
      </c>
      <c r="W149">
        <v>5</v>
      </c>
      <c r="X149">
        <v>0</v>
      </c>
      <c r="Y149">
        <v>15</v>
      </c>
      <c r="AA149">
        <v>5</v>
      </c>
      <c r="AB149">
        <v>9</v>
      </c>
    </row>
    <row r="150" spans="1:28" x14ac:dyDescent="0.4">
      <c r="A150">
        <v>149</v>
      </c>
      <c r="B150">
        <v>149</v>
      </c>
      <c r="C150" t="s">
        <v>100</v>
      </c>
      <c r="D150" t="s">
        <v>222</v>
      </c>
      <c r="E150">
        <v>7</v>
      </c>
      <c r="F150">
        <v>10</v>
      </c>
      <c r="G150">
        <v>14</v>
      </c>
      <c r="H150">
        <v>18</v>
      </c>
      <c r="I150">
        <v>0</v>
      </c>
      <c r="J150">
        <v>0</v>
      </c>
      <c r="K150">
        <v>0</v>
      </c>
      <c r="L150">
        <v>0</v>
      </c>
      <c r="M150">
        <v>1</v>
      </c>
      <c r="N150">
        <v>12</v>
      </c>
      <c r="O150">
        <v>0</v>
      </c>
      <c r="P150">
        <v>0</v>
      </c>
      <c r="Q150">
        <v>0</v>
      </c>
      <c r="R150">
        <v>1</v>
      </c>
      <c r="S150">
        <v>0</v>
      </c>
      <c r="T150" t="s">
        <v>56</v>
      </c>
      <c r="U150" t="s">
        <v>80</v>
      </c>
      <c r="V150">
        <v>0</v>
      </c>
      <c r="W150">
        <v>0</v>
      </c>
      <c r="X150">
        <v>1</v>
      </c>
      <c r="Y150">
        <v>3</v>
      </c>
      <c r="AA150">
        <v>0</v>
      </c>
      <c r="AB150">
        <v>0</v>
      </c>
    </row>
    <row r="151" spans="1:28" x14ac:dyDescent="0.4">
      <c r="A151">
        <v>150</v>
      </c>
      <c r="B151">
        <v>150</v>
      </c>
      <c r="C151" t="s">
        <v>217</v>
      </c>
      <c r="D151" t="s">
        <v>223</v>
      </c>
      <c r="E151">
        <v>18</v>
      </c>
      <c r="F151">
        <v>34</v>
      </c>
      <c r="G151">
        <v>43</v>
      </c>
      <c r="H151">
        <v>34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56</v>
      </c>
      <c r="U151" t="s">
        <v>45</v>
      </c>
      <c r="V151">
        <v>1</v>
      </c>
      <c r="W151">
        <v>0</v>
      </c>
      <c r="X151">
        <v>0</v>
      </c>
      <c r="Y151">
        <v>1</v>
      </c>
      <c r="AA151">
        <v>0</v>
      </c>
      <c r="AB151">
        <v>0</v>
      </c>
    </row>
    <row r="152" spans="1:28" x14ac:dyDescent="0.4">
      <c r="A152">
        <v>151</v>
      </c>
      <c r="B152">
        <v>151</v>
      </c>
      <c r="C152" t="s">
        <v>109</v>
      </c>
      <c r="D152" t="s">
        <v>224</v>
      </c>
      <c r="E152">
        <v>5</v>
      </c>
      <c r="F152">
        <v>7</v>
      </c>
      <c r="G152">
        <v>9</v>
      </c>
      <c r="H152">
        <v>9</v>
      </c>
      <c r="I152">
        <v>1</v>
      </c>
      <c r="J152">
        <v>2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11</v>
      </c>
      <c r="Q152">
        <v>0</v>
      </c>
      <c r="R152">
        <v>2</v>
      </c>
      <c r="S152">
        <v>0</v>
      </c>
      <c r="T152" t="s">
        <v>56</v>
      </c>
      <c r="U152" t="s">
        <v>113</v>
      </c>
      <c r="V152">
        <v>4</v>
      </c>
      <c r="W152">
        <v>0</v>
      </c>
      <c r="X152">
        <v>0</v>
      </c>
      <c r="Y152">
        <v>14</v>
      </c>
      <c r="AA152">
        <v>8</v>
      </c>
      <c r="AB152">
        <v>12</v>
      </c>
    </row>
    <row r="153" spans="1:28" x14ac:dyDescent="0.4">
      <c r="A153">
        <v>152</v>
      </c>
      <c r="B153">
        <v>152</v>
      </c>
      <c r="C153" t="s">
        <v>59</v>
      </c>
      <c r="D153" t="s">
        <v>225</v>
      </c>
      <c r="E153">
        <v>3</v>
      </c>
      <c r="F153">
        <v>5</v>
      </c>
      <c r="G153">
        <v>6</v>
      </c>
      <c r="H153">
        <v>6</v>
      </c>
      <c r="I153">
        <v>12</v>
      </c>
      <c r="J153">
        <v>0</v>
      </c>
      <c r="K153">
        <v>0</v>
      </c>
      <c r="L153">
        <v>9</v>
      </c>
      <c r="M153">
        <v>0</v>
      </c>
      <c r="N153">
        <v>0</v>
      </c>
      <c r="O153">
        <v>2</v>
      </c>
      <c r="P153">
        <v>1</v>
      </c>
      <c r="Q153">
        <v>0</v>
      </c>
      <c r="R153">
        <v>1</v>
      </c>
      <c r="S153">
        <v>0</v>
      </c>
      <c r="T153" t="s">
        <v>56</v>
      </c>
      <c r="U153" t="s">
        <v>64</v>
      </c>
      <c r="V153">
        <v>1</v>
      </c>
      <c r="W153">
        <v>2</v>
      </c>
      <c r="X153">
        <v>0</v>
      </c>
      <c r="Y153">
        <v>3</v>
      </c>
      <c r="AA153">
        <v>6</v>
      </c>
      <c r="AB153">
        <v>5</v>
      </c>
    </row>
    <row r="154" spans="1:28" x14ac:dyDescent="0.4">
      <c r="A154">
        <v>153</v>
      </c>
      <c r="B154">
        <v>153</v>
      </c>
      <c r="C154" t="s">
        <v>59</v>
      </c>
      <c r="D154" t="s">
        <v>226</v>
      </c>
      <c r="E154">
        <v>3</v>
      </c>
      <c r="F154">
        <v>5</v>
      </c>
      <c r="G154">
        <v>6</v>
      </c>
      <c r="H154">
        <v>6</v>
      </c>
      <c r="I154">
        <v>12</v>
      </c>
      <c r="J154">
        <v>0</v>
      </c>
      <c r="K154">
        <v>0</v>
      </c>
      <c r="L154">
        <v>10</v>
      </c>
      <c r="M154">
        <v>0</v>
      </c>
      <c r="N154">
        <v>0</v>
      </c>
      <c r="O154">
        <v>2</v>
      </c>
      <c r="P154">
        <v>1</v>
      </c>
      <c r="Q154">
        <v>0</v>
      </c>
      <c r="R154">
        <v>1</v>
      </c>
      <c r="S154">
        <v>0</v>
      </c>
      <c r="T154" t="s">
        <v>56</v>
      </c>
      <c r="U154" t="s">
        <v>80</v>
      </c>
      <c r="V154">
        <v>1</v>
      </c>
      <c r="W154">
        <v>2</v>
      </c>
      <c r="X154">
        <v>0</v>
      </c>
      <c r="Y154">
        <v>4</v>
      </c>
      <c r="AA154">
        <v>6</v>
      </c>
      <c r="AB154">
        <v>5</v>
      </c>
    </row>
    <row r="155" spans="1:28" x14ac:dyDescent="0.4">
      <c r="A155">
        <v>154</v>
      </c>
      <c r="B155">
        <v>154</v>
      </c>
      <c r="C155" t="s">
        <v>65</v>
      </c>
      <c r="D155" t="s">
        <v>227</v>
      </c>
      <c r="E155">
        <v>3</v>
      </c>
      <c r="F155">
        <v>5</v>
      </c>
      <c r="G155">
        <v>7</v>
      </c>
      <c r="H155">
        <v>7</v>
      </c>
      <c r="I155">
        <v>12</v>
      </c>
      <c r="J155">
        <v>0</v>
      </c>
      <c r="K155">
        <v>0</v>
      </c>
      <c r="L155">
        <v>7</v>
      </c>
      <c r="M155">
        <v>0</v>
      </c>
      <c r="N155">
        <v>3</v>
      </c>
      <c r="O155">
        <v>2</v>
      </c>
      <c r="P155">
        <v>1</v>
      </c>
      <c r="Q155">
        <v>0</v>
      </c>
      <c r="R155">
        <v>1</v>
      </c>
      <c r="S155">
        <v>4</v>
      </c>
      <c r="T155" t="s">
        <v>56</v>
      </c>
      <c r="U155" t="s">
        <v>113</v>
      </c>
      <c r="V155">
        <v>1</v>
      </c>
      <c r="W155">
        <v>3</v>
      </c>
      <c r="X155">
        <v>0</v>
      </c>
      <c r="Y155">
        <v>4</v>
      </c>
      <c r="AA155">
        <v>5</v>
      </c>
      <c r="AB155">
        <v>5</v>
      </c>
    </row>
    <row r="156" spans="1:28" x14ac:dyDescent="0.4">
      <c r="A156">
        <v>155</v>
      </c>
      <c r="B156">
        <v>155</v>
      </c>
      <c r="C156" t="s">
        <v>59</v>
      </c>
      <c r="D156" t="s">
        <v>228</v>
      </c>
      <c r="E156">
        <v>3</v>
      </c>
      <c r="F156">
        <v>5</v>
      </c>
      <c r="G156">
        <v>6</v>
      </c>
      <c r="H156">
        <v>6</v>
      </c>
      <c r="I156">
        <v>11</v>
      </c>
      <c r="J156">
        <v>0</v>
      </c>
      <c r="K156">
        <v>0</v>
      </c>
      <c r="L156">
        <v>9</v>
      </c>
      <c r="M156">
        <v>0</v>
      </c>
      <c r="N156">
        <v>0</v>
      </c>
      <c r="O156">
        <v>3</v>
      </c>
      <c r="P156">
        <v>1</v>
      </c>
      <c r="Q156">
        <v>0</v>
      </c>
      <c r="R156">
        <v>1</v>
      </c>
      <c r="S156">
        <v>0</v>
      </c>
      <c r="T156" t="s">
        <v>56</v>
      </c>
      <c r="U156" t="s">
        <v>64</v>
      </c>
      <c r="V156">
        <v>1</v>
      </c>
      <c r="W156">
        <v>2</v>
      </c>
      <c r="X156">
        <v>0</v>
      </c>
      <c r="Y156">
        <v>2</v>
      </c>
      <c r="AA156">
        <v>7</v>
      </c>
      <c r="AB156">
        <v>4</v>
      </c>
    </row>
    <row r="157" spans="1:28" x14ac:dyDescent="0.4">
      <c r="A157">
        <v>156</v>
      </c>
      <c r="B157">
        <v>156</v>
      </c>
      <c r="C157" t="s">
        <v>59</v>
      </c>
      <c r="D157" t="s">
        <v>229</v>
      </c>
      <c r="E157">
        <v>3</v>
      </c>
      <c r="F157">
        <v>5</v>
      </c>
      <c r="G157">
        <v>6</v>
      </c>
      <c r="H157">
        <v>6</v>
      </c>
      <c r="I157">
        <v>12</v>
      </c>
      <c r="J157">
        <v>0</v>
      </c>
      <c r="K157">
        <v>0</v>
      </c>
      <c r="L157">
        <v>11</v>
      </c>
      <c r="M157">
        <v>0</v>
      </c>
      <c r="N157">
        <v>0</v>
      </c>
      <c r="O157">
        <v>3</v>
      </c>
      <c r="P157">
        <v>1</v>
      </c>
      <c r="Q157">
        <v>0</v>
      </c>
      <c r="R157">
        <v>1</v>
      </c>
      <c r="S157">
        <v>0</v>
      </c>
      <c r="T157" t="s">
        <v>56</v>
      </c>
      <c r="U157" t="s">
        <v>80</v>
      </c>
      <c r="V157">
        <v>1</v>
      </c>
      <c r="W157">
        <v>2</v>
      </c>
      <c r="X157">
        <v>0</v>
      </c>
      <c r="Y157">
        <v>4</v>
      </c>
      <c r="AA157">
        <v>6</v>
      </c>
      <c r="AB157">
        <v>5</v>
      </c>
    </row>
    <row r="158" spans="1:28" x14ac:dyDescent="0.4">
      <c r="A158">
        <v>157</v>
      </c>
      <c r="B158">
        <v>157</v>
      </c>
      <c r="C158" t="s">
        <v>59</v>
      </c>
      <c r="D158" t="s">
        <v>230</v>
      </c>
      <c r="E158">
        <v>3</v>
      </c>
      <c r="F158">
        <v>5</v>
      </c>
      <c r="G158">
        <v>6</v>
      </c>
      <c r="H158">
        <v>6</v>
      </c>
      <c r="I158">
        <v>12</v>
      </c>
      <c r="J158">
        <v>0</v>
      </c>
      <c r="K158">
        <v>0</v>
      </c>
      <c r="L158">
        <v>12</v>
      </c>
      <c r="M158">
        <v>0</v>
      </c>
      <c r="N158">
        <v>0</v>
      </c>
      <c r="O158">
        <v>4</v>
      </c>
      <c r="P158">
        <v>3</v>
      </c>
      <c r="Q158">
        <v>0</v>
      </c>
      <c r="R158">
        <v>2</v>
      </c>
      <c r="S158">
        <v>0</v>
      </c>
      <c r="T158" t="s">
        <v>56</v>
      </c>
      <c r="U158" t="s">
        <v>113</v>
      </c>
      <c r="V158">
        <v>1</v>
      </c>
      <c r="W158">
        <v>2</v>
      </c>
      <c r="X158">
        <v>0</v>
      </c>
      <c r="Y158">
        <v>5</v>
      </c>
      <c r="AA158">
        <v>6</v>
      </c>
      <c r="AB158">
        <v>6</v>
      </c>
    </row>
    <row r="159" spans="1:28" x14ac:dyDescent="0.4">
      <c r="A159">
        <v>158</v>
      </c>
      <c r="B159">
        <v>158</v>
      </c>
      <c r="C159" t="s">
        <v>59</v>
      </c>
      <c r="D159" t="s">
        <v>231</v>
      </c>
      <c r="E159">
        <v>3</v>
      </c>
      <c r="F159">
        <v>5</v>
      </c>
      <c r="G159">
        <v>6</v>
      </c>
      <c r="H159">
        <v>6</v>
      </c>
      <c r="I159">
        <v>14</v>
      </c>
      <c r="J159">
        <v>1</v>
      </c>
      <c r="K159">
        <v>0</v>
      </c>
      <c r="L159">
        <v>8</v>
      </c>
      <c r="M159">
        <v>0</v>
      </c>
      <c r="N159">
        <v>0</v>
      </c>
      <c r="O159">
        <v>4</v>
      </c>
      <c r="P159">
        <v>0</v>
      </c>
      <c r="Q159">
        <v>0</v>
      </c>
      <c r="R159">
        <v>0</v>
      </c>
      <c r="S159">
        <v>0</v>
      </c>
      <c r="T159" t="s">
        <v>56</v>
      </c>
      <c r="U159" t="s">
        <v>64</v>
      </c>
      <c r="V159">
        <v>1</v>
      </c>
      <c r="W159">
        <v>2</v>
      </c>
      <c r="X159">
        <v>0</v>
      </c>
      <c r="Y159">
        <v>6</v>
      </c>
      <c r="AA159">
        <v>2</v>
      </c>
      <c r="AB159">
        <v>6</v>
      </c>
    </row>
    <row r="160" spans="1:28" x14ac:dyDescent="0.4">
      <c r="A160">
        <v>159</v>
      </c>
      <c r="B160">
        <v>159</v>
      </c>
      <c r="C160" t="s">
        <v>59</v>
      </c>
      <c r="D160" t="s">
        <v>232</v>
      </c>
      <c r="E160">
        <v>3</v>
      </c>
      <c r="F160">
        <v>5</v>
      </c>
      <c r="G160">
        <v>6</v>
      </c>
      <c r="H160">
        <v>6</v>
      </c>
      <c r="I160">
        <v>37</v>
      </c>
      <c r="J160">
        <v>2</v>
      </c>
      <c r="K160">
        <v>0</v>
      </c>
      <c r="L160">
        <v>10</v>
      </c>
      <c r="M160">
        <v>0</v>
      </c>
      <c r="N160">
        <v>0</v>
      </c>
      <c r="O160">
        <v>2</v>
      </c>
      <c r="P160">
        <v>0</v>
      </c>
      <c r="Q160">
        <v>0</v>
      </c>
      <c r="R160">
        <v>0</v>
      </c>
      <c r="S160">
        <v>0</v>
      </c>
      <c r="T160" t="s">
        <v>56</v>
      </c>
      <c r="U160" t="s">
        <v>80</v>
      </c>
      <c r="V160">
        <v>2</v>
      </c>
      <c r="W160">
        <v>3</v>
      </c>
      <c r="X160">
        <v>0</v>
      </c>
      <c r="Y160">
        <v>8</v>
      </c>
      <c r="AA160">
        <v>3</v>
      </c>
      <c r="AB160">
        <v>6</v>
      </c>
    </row>
    <row r="161" spans="1:28" x14ac:dyDescent="0.4">
      <c r="A161">
        <v>160</v>
      </c>
      <c r="B161">
        <v>160</v>
      </c>
      <c r="C161" t="s">
        <v>46</v>
      </c>
      <c r="D161" t="s">
        <v>233</v>
      </c>
      <c r="E161">
        <v>1</v>
      </c>
      <c r="F161">
        <v>2</v>
      </c>
      <c r="G161">
        <v>4</v>
      </c>
      <c r="H161">
        <v>16</v>
      </c>
      <c r="I161">
        <v>0</v>
      </c>
      <c r="J161">
        <v>3</v>
      </c>
      <c r="K161">
        <v>0</v>
      </c>
      <c r="L161">
        <v>6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2</v>
      </c>
      <c r="S161">
        <v>0</v>
      </c>
      <c r="T161" t="s">
        <v>30</v>
      </c>
      <c r="U161" t="s">
        <v>64</v>
      </c>
      <c r="V161">
        <v>0</v>
      </c>
      <c r="W161">
        <v>2</v>
      </c>
      <c r="X161">
        <v>4</v>
      </c>
      <c r="Y161">
        <v>0</v>
      </c>
      <c r="AA161">
        <v>0</v>
      </c>
      <c r="AB161">
        <v>0</v>
      </c>
    </row>
    <row r="162" spans="1:28" x14ac:dyDescent="0.4">
      <c r="A162">
        <v>161</v>
      </c>
      <c r="B162">
        <v>161</v>
      </c>
      <c r="C162" t="s">
        <v>39</v>
      </c>
      <c r="D162" t="s">
        <v>234</v>
      </c>
      <c r="E162">
        <v>1</v>
      </c>
      <c r="F162">
        <v>1</v>
      </c>
      <c r="G162">
        <v>3</v>
      </c>
      <c r="H162">
        <v>3</v>
      </c>
      <c r="I162">
        <v>0</v>
      </c>
      <c r="J162">
        <v>24</v>
      </c>
      <c r="K162">
        <v>0</v>
      </c>
      <c r="L162">
        <v>3</v>
      </c>
      <c r="M162">
        <v>1</v>
      </c>
      <c r="N162">
        <v>0</v>
      </c>
      <c r="O162">
        <v>0</v>
      </c>
      <c r="P162">
        <v>0</v>
      </c>
      <c r="Q162">
        <v>0</v>
      </c>
      <c r="R162">
        <v>4</v>
      </c>
      <c r="S162">
        <v>0</v>
      </c>
      <c r="T162" t="s">
        <v>41</v>
      </c>
      <c r="U162" t="s">
        <v>113</v>
      </c>
      <c r="V162">
        <v>0</v>
      </c>
      <c r="W162">
        <v>20</v>
      </c>
      <c r="X162">
        <v>22</v>
      </c>
      <c r="Y162">
        <v>2</v>
      </c>
      <c r="AA162">
        <v>0</v>
      </c>
      <c r="AB162">
        <v>0</v>
      </c>
    </row>
    <row r="163" spans="1:28" x14ac:dyDescent="0.4">
      <c r="A163">
        <v>162</v>
      </c>
      <c r="B163">
        <v>162</v>
      </c>
      <c r="C163" t="s">
        <v>34</v>
      </c>
      <c r="D163" t="s">
        <v>235</v>
      </c>
      <c r="E163">
        <v>1</v>
      </c>
      <c r="F163">
        <v>1</v>
      </c>
      <c r="G163">
        <v>2</v>
      </c>
      <c r="H163">
        <v>2</v>
      </c>
      <c r="I163">
        <v>0</v>
      </c>
      <c r="J163">
        <v>9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-2</v>
      </c>
      <c r="S163">
        <v>0</v>
      </c>
      <c r="T163" t="s">
        <v>41</v>
      </c>
      <c r="U163" t="s">
        <v>64</v>
      </c>
      <c r="V163">
        <v>0</v>
      </c>
      <c r="W163">
        <v>4</v>
      </c>
      <c r="X163">
        <v>4</v>
      </c>
      <c r="Y163">
        <v>0</v>
      </c>
      <c r="AA163">
        <v>0</v>
      </c>
      <c r="AB163">
        <v>0</v>
      </c>
    </row>
    <row r="164" spans="1:28" x14ac:dyDescent="0.4">
      <c r="A164">
        <v>163</v>
      </c>
      <c r="B164">
        <v>163</v>
      </c>
      <c r="C164" t="s">
        <v>68</v>
      </c>
      <c r="D164" t="s">
        <v>236</v>
      </c>
      <c r="E164">
        <v>5</v>
      </c>
      <c r="F164">
        <v>7</v>
      </c>
      <c r="G164">
        <v>10</v>
      </c>
      <c r="H164">
        <v>10</v>
      </c>
      <c r="I164">
        <v>25</v>
      </c>
      <c r="J164">
        <v>1</v>
      </c>
      <c r="K164">
        <v>0</v>
      </c>
      <c r="L164">
        <v>1</v>
      </c>
      <c r="M164">
        <v>0</v>
      </c>
      <c r="N164">
        <v>2</v>
      </c>
      <c r="O164">
        <v>1</v>
      </c>
      <c r="P164">
        <v>4</v>
      </c>
      <c r="Q164">
        <v>0</v>
      </c>
      <c r="R164">
        <v>2</v>
      </c>
      <c r="S164">
        <v>0</v>
      </c>
      <c r="T164" t="s">
        <v>56</v>
      </c>
      <c r="U164" t="s">
        <v>64</v>
      </c>
      <c r="V164">
        <v>1</v>
      </c>
      <c r="W164">
        <v>1</v>
      </c>
      <c r="X164">
        <v>0</v>
      </c>
      <c r="Y164">
        <v>2</v>
      </c>
      <c r="AA164">
        <v>3</v>
      </c>
      <c r="AB164">
        <v>4</v>
      </c>
    </row>
    <row r="165" spans="1:28" x14ac:dyDescent="0.4">
      <c r="A165">
        <v>164</v>
      </c>
      <c r="B165">
        <v>164</v>
      </c>
      <c r="C165" t="s">
        <v>237</v>
      </c>
      <c r="D165" t="s">
        <v>238</v>
      </c>
      <c r="E165">
        <v>5</v>
      </c>
      <c r="F165">
        <v>36</v>
      </c>
      <c r="G165">
        <v>45</v>
      </c>
      <c r="H165">
        <v>43</v>
      </c>
      <c r="I165">
        <v>25</v>
      </c>
      <c r="J165">
        <v>0</v>
      </c>
      <c r="K165">
        <v>0</v>
      </c>
      <c r="L165">
        <v>2</v>
      </c>
      <c r="M165">
        <v>0</v>
      </c>
      <c r="N165">
        <v>1</v>
      </c>
      <c r="O165">
        <v>2</v>
      </c>
      <c r="P165">
        <v>2</v>
      </c>
      <c r="Q165">
        <v>0</v>
      </c>
      <c r="R165">
        <v>1</v>
      </c>
      <c r="S165">
        <v>0</v>
      </c>
      <c r="T165" t="s">
        <v>56</v>
      </c>
      <c r="U165" t="s">
        <v>64</v>
      </c>
      <c r="V165">
        <v>1</v>
      </c>
      <c r="W165">
        <v>1</v>
      </c>
      <c r="X165">
        <v>0</v>
      </c>
      <c r="Y165">
        <v>2</v>
      </c>
      <c r="AA165">
        <v>3</v>
      </c>
      <c r="AB165">
        <v>4</v>
      </c>
    </row>
    <row r="166" spans="1:28" x14ac:dyDescent="0.4">
      <c r="A166">
        <v>165</v>
      </c>
      <c r="B166">
        <v>165</v>
      </c>
      <c r="C166" t="s">
        <v>237</v>
      </c>
      <c r="D166" t="s">
        <v>239</v>
      </c>
      <c r="E166">
        <v>5</v>
      </c>
      <c r="F166">
        <v>36</v>
      </c>
      <c r="G166">
        <v>45</v>
      </c>
      <c r="H166">
        <v>43</v>
      </c>
      <c r="I166">
        <v>3</v>
      </c>
      <c r="J166">
        <v>0</v>
      </c>
      <c r="K166">
        <v>0</v>
      </c>
      <c r="L166">
        <v>3</v>
      </c>
      <c r="M166">
        <v>0</v>
      </c>
      <c r="N166">
        <v>1</v>
      </c>
      <c r="O166">
        <v>2</v>
      </c>
      <c r="P166">
        <v>1</v>
      </c>
      <c r="Q166">
        <v>0</v>
      </c>
      <c r="R166">
        <v>1</v>
      </c>
      <c r="S166">
        <v>0</v>
      </c>
      <c r="T166" t="s">
        <v>56</v>
      </c>
      <c r="U166" t="s">
        <v>45</v>
      </c>
      <c r="V166">
        <v>1</v>
      </c>
      <c r="W166">
        <v>1</v>
      </c>
      <c r="X166">
        <v>0</v>
      </c>
      <c r="Y166">
        <v>4</v>
      </c>
      <c r="AA166">
        <v>4</v>
      </c>
      <c r="AB166">
        <v>5</v>
      </c>
    </row>
    <row r="167" spans="1:28" x14ac:dyDescent="0.4">
      <c r="A167">
        <v>166</v>
      </c>
      <c r="B167">
        <v>166</v>
      </c>
      <c r="C167" t="s">
        <v>125</v>
      </c>
      <c r="D167" t="s">
        <v>240</v>
      </c>
      <c r="E167">
        <v>8</v>
      </c>
      <c r="F167">
        <v>14</v>
      </c>
      <c r="G167">
        <v>24</v>
      </c>
      <c r="H167">
        <v>20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56</v>
      </c>
      <c r="U167" t="s">
        <v>45</v>
      </c>
      <c r="V167">
        <v>1</v>
      </c>
      <c r="W167">
        <v>2</v>
      </c>
      <c r="X167">
        <v>4</v>
      </c>
      <c r="Y167">
        <v>1</v>
      </c>
      <c r="AA167">
        <v>0</v>
      </c>
      <c r="AB167">
        <v>0</v>
      </c>
    </row>
    <row r="168" spans="1:28" x14ac:dyDescent="0.4">
      <c r="A168">
        <v>167</v>
      </c>
      <c r="B168">
        <v>167</v>
      </c>
      <c r="C168" t="s">
        <v>241</v>
      </c>
      <c r="D168" t="s">
        <v>242</v>
      </c>
      <c r="E168">
        <v>20</v>
      </c>
      <c r="F168">
        <v>37</v>
      </c>
      <c r="G168">
        <v>46</v>
      </c>
      <c r="H168">
        <v>36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t="s">
        <v>56</v>
      </c>
      <c r="U168" t="s">
        <v>64</v>
      </c>
      <c r="V168">
        <v>1</v>
      </c>
      <c r="W168">
        <v>2</v>
      </c>
      <c r="X168">
        <v>3</v>
      </c>
      <c r="Y168">
        <v>2</v>
      </c>
      <c r="AA168">
        <v>0</v>
      </c>
      <c r="AB168">
        <v>0</v>
      </c>
    </row>
    <row r="169" spans="1:28" x14ac:dyDescent="0.4">
      <c r="A169">
        <v>168</v>
      </c>
      <c r="B169">
        <v>168</v>
      </c>
      <c r="C169" t="s">
        <v>243</v>
      </c>
      <c r="D169" t="s">
        <v>244</v>
      </c>
      <c r="E169">
        <v>21</v>
      </c>
      <c r="F169">
        <v>38</v>
      </c>
      <c r="G169">
        <v>47</v>
      </c>
      <c r="H169">
        <v>37</v>
      </c>
      <c r="I169">
        <v>4</v>
      </c>
      <c r="J169">
        <v>0</v>
      </c>
      <c r="K169">
        <v>8</v>
      </c>
      <c r="L169">
        <v>1</v>
      </c>
      <c r="M169">
        <v>0</v>
      </c>
      <c r="N169">
        <v>2</v>
      </c>
      <c r="O169">
        <v>0</v>
      </c>
      <c r="P169">
        <v>2</v>
      </c>
      <c r="Q169">
        <v>0</v>
      </c>
      <c r="R169">
        <v>0</v>
      </c>
      <c r="S169">
        <v>10</v>
      </c>
      <c r="T169" t="s">
        <v>56</v>
      </c>
      <c r="U169" t="s">
        <v>20</v>
      </c>
      <c r="V169">
        <v>7</v>
      </c>
      <c r="W169">
        <v>4</v>
      </c>
      <c r="X169">
        <v>0</v>
      </c>
      <c r="Y169">
        <v>12</v>
      </c>
      <c r="AA169">
        <v>8</v>
      </c>
      <c r="AB169">
        <v>10</v>
      </c>
    </row>
    <row r="170" spans="1:28" x14ac:dyDescent="0.4">
      <c r="A170">
        <v>169</v>
      </c>
      <c r="B170">
        <v>169</v>
      </c>
      <c r="C170" t="s">
        <v>243</v>
      </c>
      <c r="D170" t="s">
        <v>245</v>
      </c>
      <c r="E170">
        <v>21</v>
      </c>
      <c r="F170">
        <v>38</v>
      </c>
      <c r="G170">
        <v>47</v>
      </c>
      <c r="H170">
        <v>37</v>
      </c>
      <c r="I170">
        <v>4</v>
      </c>
      <c r="J170">
        <v>0</v>
      </c>
      <c r="K170">
        <v>10</v>
      </c>
      <c r="L170">
        <v>2</v>
      </c>
      <c r="M170">
        <v>0</v>
      </c>
      <c r="N170">
        <v>2</v>
      </c>
      <c r="O170">
        <v>0</v>
      </c>
      <c r="P170">
        <v>3</v>
      </c>
      <c r="Q170">
        <v>0</v>
      </c>
      <c r="R170">
        <v>0</v>
      </c>
      <c r="S170">
        <v>12</v>
      </c>
      <c r="T170" t="s">
        <v>56</v>
      </c>
      <c r="U170" t="s">
        <v>45</v>
      </c>
      <c r="V170">
        <v>8</v>
      </c>
      <c r="W170">
        <v>5</v>
      </c>
      <c r="X170">
        <v>0</v>
      </c>
      <c r="Y170">
        <v>13</v>
      </c>
      <c r="AA170">
        <v>9</v>
      </c>
      <c r="AB170">
        <v>12</v>
      </c>
    </row>
    <row r="171" spans="1:28" x14ac:dyDescent="0.4">
      <c r="A171">
        <v>170</v>
      </c>
      <c r="B171">
        <v>170</v>
      </c>
      <c r="C171" t="s">
        <v>243</v>
      </c>
      <c r="D171" t="s">
        <v>246</v>
      </c>
      <c r="E171">
        <v>21</v>
      </c>
      <c r="F171">
        <v>38</v>
      </c>
      <c r="G171">
        <v>47</v>
      </c>
      <c r="H171">
        <v>37</v>
      </c>
      <c r="I171">
        <v>4</v>
      </c>
      <c r="J171">
        <v>0</v>
      </c>
      <c r="K171">
        <v>12</v>
      </c>
      <c r="L171">
        <v>3</v>
      </c>
      <c r="M171">
        <v>0</v>
      </c>
      <c r="N171">
        <v>2</v>
      </c>
      <c r="O171">
        <v>0</v>
      </c>
      <c r="P171">
        <v>4</v>
      </c>
      <c r="Q171">
        <v>0</v>
      </c>
      <c r="R171">
        <v>1</v>
      </c>
      <c r="S171">
        <v>13</v>
      </c>
      <c r="T171" t="s">
        <v>56</v>
      </c>
      <c r="U171" t="s">
        <v>80</v>
      </c>
      <c r="V171">
        <v>8</v>
      </c>
      <c r="W171">
        <v>5</v>
      </c>
      <c r="X171">
        <v>0</v>
      </c>
      <c r="Y171">
        <v>14</v>
      </c>
      <c r="AA171">
        <v>9</v>
      </c>
      <c r="AB171">
        <v>12</v>
      </c>
    </row>
    <row r="172" spans="1:28" x14ac:dyDescent="0.4">
      <c r="A172">
        <v>171</v>
      </c>
      <c r="B172">
        <v>171</v>
      </c>
      <c r="C172" t="s">
        <v>68</v>
      </c>
      <c r="D172" t="s">
        <v>247</v>
      </c>
      <c r="E172">
        <v>5</v>
      </c>
      <c r="F172">
        <v>7</v>
      </c>
      <c r="G172">
        <v>10</v>
      </c>
      <c r="H172">
        <v>10</v>
      </c>
      <c r="I172">
        <v>2</v>
      </c>
      <c r="J172">
        <v>0</v>
      </c>
      <c r="K172">
        <v>0</v>
      </c>
      <c r="L172">
        <v>1</v>
      </c>
      <c r="M172">
        <v>0</v>
      </c>
      <c r="N172">
        <v>1</v>
      </c>
      <c r="O172">
        <v>1</v>
      </c>
      <c r="P172">
        <v>6</v>
      </c>
      <c r="Q172">
        <v>0</v>
      </c>
      <c r="R172">
        <v>2</v>
      </c>
      <c r="S172">
        <v>1</v>
      </c>
      <c r="T172" t="s">
        <v>56</v>
      </c>
      <c r="U172" t="s">
        <v>64</v>
      </c>
      <c r="V172">
        <v>2</v>
      </c>
      <c r="W172">
        <v>1</v>
      </c>
      <c r="X172">
        <v>0</v>
      </c>
      <c r="Y172">
        <v>2</v>
      </c>
      <c r="AA172">
        <v>3</v>
      </c>
      <c r="AB172">
        <v>6</v>
      </c>
    </row>
    <row r="173" spans="1:28" x14ac:dyDescent="0.4">
      <c r="A173">
        <v>172</v>
      </c>
      <c r="B173">
        <v>172</v>
      </c>
      <c r="C173" t="s">
        <v>46</v>
      </c>
      <c r="D173" t="s">
        <v>248</v>
      </c>
      <c r="E173">
        <v>1</v>
      </c>
      <c r="F173">
        <v>2</v>
      </c>
      <c r="G173">
        <v>4</v>
      </c>
      <c r="H173">
        <v>16</v>
      </c>
      <c r="I173">
        <v>0</v>
      </c>
      <c r="J173">
        <v>4</v>
      </c>
      <c r="K173">
        <v>0</v>
      </c>
      <c r="L173">
        <v>9</v>
      </c>
      <c r="M173">
        <v>1</v>
      </c>
      <c r="N173">
        <v>0</v>
      </c>
      <c r="O173">
        <v>1</v>
      </c>
      <c r="P173">
        <v>0</v>
      </c>
      <c r="Q173">
        <v>0</v>
      </c>
      <c r="R173">
        <v>2</v>
      </c>
      <c r="S173">
        <v>0</v>
      </c>
      <c r="T173" t="s">
        <v>30</v>
      </c>
      <c r="U173" t="s">
        <v>80</v>
      </c>
      <c r="V173">
        <v>0</v>
      </c>
      <c r="W173">
        <v>3</v>
      </c>
      <c r="X173">
        <v>4</v>
      </c>
      <c r="Y173">
        <v>2</v>
      </c>
      <c r="AA173">
        <v>0</v>
      </c>
      <c r="AB173">
        <v>0</v>
      </c>
    </row>
    <row r="174" spans="1:28" x14ac:dyDescent="0.4">
      <c r="A174">
        <v>173</v>
      </c>
      <c r="B174">
        <v>173</v>
      </c>
      <c r="C174" t="s">
        <v>88</v>
      </c>
      <c r="D174" t="s">
        <v>249</v>
      </c>
      <c r="E174">
        <v>4</v>
      </c>
      <c r="F174">
        <v>6</v>
      </c>
      <c r="G174">
        <v>21</v>
      </c>
      <c r="H174">
        <v>15</v>
      </c>
      <c r="I174">
        <v>0</v>
      </c>
      <c r="J174">
        <v>1</v>
      </c>
      <c r="K174">
        <v>0</v>
      </c>
      <c r="L174">
        <v>11</v>
      </c>
      <c r="M174">
        <v>1</v>
      </c>
      <c r="N174">
        <v>0</v>
      </c>
      <c r="O174">
        <v>2</v>
      </c>
      <c r="P174">
        <v>0</v>
      </c>
      <c r="Q174">
        <v>0</v>
      </c>
      <c r="R174">
        <v>1</v>
      </c>
      <c r="S174">
        <v>0</v>
      </c>
      <c r="T174" t="s">
        <v>56</v>
      </c>
      <c r="U174" t="s">
        <v>80</v>
      </c>
      <c r="V174">
        <v>0</v>
      </c>
      <c r="W174">
        <v>6</v>
      </c>
      <c r="X174">
        <v>1</v>
      </c>
      <c r="Y174">
        <v>3</v>
      </c>
      <c r="AA174">
        <v>0</v>
      </c>
      <c r="AB174">
        <v>0</v>
      </c>
    </row>
    <row r="175" spans="1:28" x14ac:dyDescent="0.4">
      <c r="A175">
        <v>174</v>
      </c>
      <c r="B175">
        <v>174</v>
      </c>
      <c r="C175" t="s">
        <v>50</v>
      </c>
      <c r="D175" t="s">
        <v>250</v>
      </c>
      <c r="E175">
        <v>2</v>
      </c>
      <c r="F175">
        <v>3</v>
      </c>
      <c r="G175">
        <v>5</v>
      </c>
      <c r="H175">
        <v>5</v>
      </c>
      <c r="I175">
        <v>0</v>
      </c>
      <c r="J175">
        <v>0</v>
      </c>
      <c r="K175">
        <v>3</v>
      </c>
      <c r="L175">
        <v>0</v>
      </c>
      <c r="M175">
        <v>0</v>
      </c>
      <c r="N175">
        <v>0</v>
      </c>
      <c r="O175">
        <v>2</v>
      </c>
      <c r="P175">
        <v>0</v>
      </c>
      <c r="Q175">
        <v>0</v>
      </c>
      <c r="R175">
        <v>0</v>
      </c>
      <c r="S175">
        <v>0</v>
      </c>
      <c r="T175" t="s">
        <v>30</v>
      </c>
      <c r="U175" t="s">
        <v>20</v>
      </c>
      <c r="V175">
        <v>1</v>
      </c>
      <c r="W175">
        <v>1</v>
      </c>
      <c r="X175">
        <v>1</v>
      </c>
      <c r="Y175">
        <v>0</v>
      </c>
      <c r="AA175">
        <v>0</v>
      </c>
      <c r="AB175">
        <v>0</v>
      </c>
    </row>
    <row r="176" spans="1:28" x14ac:dyDescent="0.4">
      <c r="A176">
        <v>175</v>
      </c>
      <c r="B176">
        <v>175</v>
      </c>
      <c r="C176" t="s">
        <v>251</v>
      </c>
      <c r="D176" t="s">
        <v>252</v>
      </c>
      <c r="E176">
        <v>22</v>
      </c>
      <c r="F176">
        <v>39</v>
      </c>
      <c r="G176">
        <v>48</v>
      </c>
      <c r="H176">
        <v>38</v>
      </c>
      <c r="I176">
        <v>18</v>
      </c>
      <c r="J176">
        <v>0</v>
      </c>
      <c r="K176">
        <v>0</v>
      </c>
      <c r="L176">
        <v>6</v>
      </c>
      <c r="M176">
        <v>0</v>
      </c>
      <c r="N176">
        <v>0</v>
      </c>
      <c r="O176">
        <v>2</v>
      </c>
      <c r="P176">
        <v>0</v>
      </c>
      <c r="Q176">
        <v>0</v>
      </c>
      <c r="R176">
        <v>5</v>
      </c>
      <c r="S176">
        <v>0</v>
      </c>
      <c r="T176" t="s">
        <v>56</v>
      </c>
      <c r="U176" t="s">
        <v>80</v>
      </c>
      <c r="V176">
        <v>3</v>
      </c>
      <c r="W176">
        <v>2</v>
      </c>
      <c r="X176">
        <v>0</v>
      </c>
      <c r="Y176">
        <v>7</v>
      </c>
      <c r="AA176">
        <v>2</v>
      </c>
      <c r="AB176">
        <v>6</v>
      </c>
    </row>
    <row r="177" spans="1:28" x14ac:dyDescent="0.4">
      <c r="A177">
        <v>176</v>
      </c>
      <c r="B177">
        <v>176</v>
      </c>
      <c r="C177" t="s">
        <v>251</v>
      </c>
      <c r="D177" t="s">
        <v>253</v>
      </c>
      <c r="E177">
        <v>22</v>
      </c>
      <c r="F177">
        <v>39</v>
      </c>
      <c r="G177">
        <v>48</v>
      </c>
      <c r="H177">
        <v>44</v>
      </c>
      <c r="I177">
        <v>18</v>
      </c>
      <c r="J177">
        <v>0</v>
      </c>
      <c r="K177">
        <v>0</v>
      </c>
      <c r="L177">
        <v>8</v>
      </c>
      <c r="M177">
        <v>0</v>
      </c>
      <c r="N177">
        <v>0</v>
      </c>
      <c r="O177">
        <v>3</v>
      </c>
      <c r="P177">
        <v>0</v>
      </c>
      <c r="Q177">
        <v>0</v>
      </c>
      <c r="R177">
        <v>1</v>
      </c>
      <c r="S177">
        <v>0</v>
      </c>
      <c r="T177" t="s">
        <v>56</v>
      </c>
      <c r="U177" t="s">
        <v>64</v>
      </c>
      <c r="V177">
        <v>1</v>
      </c>
      <c r="W177">
        <v>2</v>
      </c>
      <c r="X177">
        <v>0</v>
      </c>
      <c r="Y177">
        <v>6</v>
      </c>
      <c r="AA177">
        <v>3</v>
      </c>
      <c r="AB177">
        <v>7</v>
      </c>
    </row>
    <row r="178" spans="1:28" x14ac:dyDescent="0.4">
      <c r="A178">
        <v>177</v>
      </c>
      <c r="B178">
        <v>177</v>
      </c>
      <c r="C178" t="s">
        <v>251</v>
      </c>
      <c r="D178" t="s">
        <v>254</v>
      </c>
      <c r="E178">
        <v>22</v>
      </c>
      <c r="F178">
        <v>39</v>
      </c>
      <c r="G178">
        <v>48</v>
      </c>
      <c r="H178">
        <v>44</v>
      </c>
      <c r="I178">
        <v>18</v>
      </c>
      <c r="J178">
        <v>0</v>
      </c>
      <c r="K178">
        <v>0</v>
      </c>
      <c r="L178">
        <v>9</v>
      </c>
      <c r="M178">
        <v>0</v>
      </c>
      <c r="N178">
        <v>0</v>
      </c>
      <c r="O178">
        <v>4</v>
      </c>
      <c r="P178">
        <v>0</v>
      </c>
      <c r="Q178">
        <v>0</v>
      </c>
      <c r="R178">
        <v>3</v>
      </c>
      <c r="S178">
        <v>0</v>
      </c>
      <c r="T178" t="s">
        <v>56</v>
      </c>
      <c r="U178" t="s">
        <v>113</v>
      </c>
      <c r="V178">
        <v>1</v>
      </c>
      <c r="W178">
        <v>2</v>
      </c>
      <c r="X178">
        <v>0</v>
      </c>
      <c r="Y178">
        <v>6</v>
      </c>
      <c r="AA178">
        <v>4</v>
      </c>
      <c r="AB178">
        <v>7</v>
      </c>
    </row>
    <row r="179" spans="1:28" x14ac:dyDescent="0.4">
      <c r="A179">
        <v>178</v>
      </c>
      <c r="B179">
        <v>178</v>
      </c>
      <c r="C179" t="s">
        <v>208</v>
      </c>
      <c r="D179" t="s">
        <v>255</v>
      </c>
      <c r="E179">
        <v>17</v>
      </c>
      <c r="F179">
        <v>33</v>
      </c>
      <c r="G179">
        <v>41</v>
      </c>
      <c r="H179">
        <v>33</v>
      </c>
      <c r="I179">
        <v>19</v>
      </c>
      <c r="J179">
        <v>0</v>
      </c>
      <c r="K179">
        <v>0</v>
      </c>
      <c r="L179">
        <v>0</v>
      </c>
      <c r="M179">
        <v>0</v>
      </c>
      <c r="N179">
        <v>2</v>
      </c>
      <c r="O179">
        <v>0</v>
      </c>
      <c r="P179">
        <v>9</v>
      </c>
      <c r="Q179">
        <v>0</v>
      </c>
      <c r="R179">
        <v>2</v>
      </c>
      <c r="S179">
        <v>0</v>
      </c>
      <c r="T179" t="s">
        <v>56</v>
      </c>
      <c r="U179" t="s">
        <v>80</v>
      </c>
      <c r="V179">
        <v>8</v>
      </c>
      <c r="W179">
        <v>2</v>
      </c>
      <c r="X179">
        <v>0</v>
      </c>
      <c r="Y179">
        <v>18</v>
      </c>
      <c r="AA179">
        <v>10</v>
      </c>
      <c r="AB179">
        <v>13</v>
      </c>
    </row>
    <row r="180" spans="1:28" x14ac:dyDescent="0.4">
      <c r="A180">
        <v>179</v>
      </c>
      <c r="B180">
        <v>179</v>
      </c>
      <c r="C180" t="s">
        <v>50</v>
      </c>
      <c r="D180" t="s">
        <v>256</v>
      </c>
      <c r="E180">
        <v>2</v>
      </c>
      <c r="F180">
        <v>3</v>
      </c>
      <c r="G180">
        <v>5</v>
      </c>
      <c r="H180">
        <v>5</v>
      </c>
      <c r="I180">
        <v>0</v>
      </c>
      <c r="J180">
        <v>0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2</v>
      </c>
      <c r="S180">
        <v>0</v>
      </c>
      <c r="T180" t="s">
        <v>30</v>
      </c>
      <c r="U180" t="s">
        <v>80</v>
      </c>
      <c r="V180">
        <v>2</v>
      </c>
      <c r="W180">
        <v>4</v>
      </c>
      <c r="X180">
        <v>2</v>
      </c>
      <c r="Y180">
        <v>0</v>
      </c>
      <c r="AA180">
        <v>0</v>
      </c>
      <c r="AB180">
        <v>0</v>
      </c>
    </row>
    <row r="181" spans="1:28" x14ac:dyDescent="0.4">
      <c r="A181">
        <v>180</v>
      </c>
      <c r="B181">
        <v>180</v>
      </c>
      <c r="C181" t="s">
        <v>243</v>
      </c>
      <c r="D181" t="s">
        <v>257</v>
      </c>
      <c r="E181">
        <v>21</v>
      </c>
      <c r="F181">
        <v>38</v>
      </c>
      <c r="G181">
        <v>47</v>
      </c>
      <c r="H181">
        <v>37</v>
      </c>
      <c r="I181">
        <v>4</v>
      </c>
      <c r="J181">
        <v>0</v>
      </c>
      <c r="K181">
        <v>11</v>
      </c>
      <c r="L181">
        <v>3</v>
      </c>
      <c r="M181">
        <v>0</v>
      </c>
      <c r="N181">
        <v>2</v>
      </c>
      <c r="O181">
        <v>0</v>
      </c>
      <c r="P181">
        <v>4</v>
      </c>
      <c r="Q181">
        <v>0</v>
      </c>
      <c r="R181">
        <v>0</v>
      </c>
      <c r="S181">
        <v>12</v>
      </c>
      <c r="T181" t="s">
        <v>56</v>
      </c>
      <c r="U181" t="s">
        <v>64</v>
      </c>
      <c r="V181">
        <v>8</v>
      </c>
      <c r="W181">
        <v>5</v>
      </c>
      <c r="X181">
        <v>0</v>
      </c>
      <c r="Y181">
        <v>14</v>
      </c>
      <c r="AA181">
        <v>10</v>
      </c>
      <c r="AB181">
        <v>12</v>
      </c>
    </row>
    <row r="182" spans="1:28" x14ac:dyDescent="0.4">
      <c r="A182">
        <v>181</v>
      </c>
      <c r="B182">
        <v>181</v>
      </c>
      <c r="C182" t="s">
        <v>59</v>
      </c>
      <c r="D182" t="s">
        <v>258</v>
      </c>
      <c r="E182">
        <v>3</v>
      </c>
      <c r="F182">
        <v>5</v>
      </c>
      <c r="G182">
        <v>6</v>
      </c>
      <c r="H182">
        <v>6</v>
      </c>
      <c r="I182">
        <v>11</v>
      </c>
      <c r="J182">
        <v>0</v>
      </c>
      <c r="K182">
        <v>0</v>
      </c>
      <c r="L182">
        <v>5</v>
      </c>
      <c r="M182">
        <v>0</v>
      </c>
      <c r="N182">
        <v>0</v>
      </c>
      <c r="O182">
        <v>2</v>
      </c>
      <c r="P182">
        <v>0</v>
      </c>
      <c r="Q182">
        <v>0</v>
      </c>
      <c r="R182">
        <v>0</v>
      </c>
      <c r="S182">
        <v>0</v>
      </c>
      <c r="T182" t="s">
        <v>56</v>
      </c>
      <c r="U182" t="s">
        <v>45</v>
      </c>
      <c r="V182">
        <v>1</v>
      </c>
      <c r="W182">
        <v>2</v>
      </c>
      <c r="X182">
        <v>0</v>
      </c>
      <c r="Y182">
        <v>2</v>
      </c>
      <c r="AA182">
        <v>5</v>
      </c>
      <c r="AB182">
        <v>4</v>
      </c>
    </row>
    <row r="183" spans="1:28" x14ac:dyDescent="0.4">
      <c r="A183">
        <v>182</v>
      </c>
      <c r="B183">
        <v>182</v>
      </c>
      <c r="C183" t="s">
        <v>59</v>
      </c>
      <c r="D183" t="s">
        <v>259</v>
      </c>
      <c r="E183">
        <v>3</v>
      </c>
      <c r="F183">
        <v>5</v>
      </c>
      <c r="G183">
        <v>6</v>
      </c>
      <c r="H183">
        <v>6</v>
      </c>
      <c r="I183">
        <v>11</v>
      </c>
      <c r="J183">
        <v>0</v>
      </c>
      <c r="K183">
        <v>0</v>
      </c>
      <c r="L183">
        <v>8</v>
      </c>
      <c r="M183">
        <v>0</v>
      </c>
      <c r="N183">
        <v>0</v>
      </c>
      <c r="O183">
        <v>4</v>
      </c>
      <c r="P183">
        <v>0</v>
      </c>
      <c r="Q183">
        <v>0</v>
      </c>
      <c r="R183">
        <v>1</v>
      </c>
      <c r="S183">
        <v>0</v>
      </c>
      <c r="T183" t="s">
        <v>56</v>
      </c>
      <c r="U183" t="s">
        <v>64</v>
      </c>
      <c r="V183">
        <v>1</v>
      </c>
      <c r="W183">
        <v>2</v>
      </c>
      <c r="X183">
        <v>0</v>
      </c>
      <c r="Y183">
        <v>2</v>
      </c>
      <c r="AA183">
        <v>5</v>
      </c>
      <c r="AB183">
        <v>4</v>
      </c>
    </row>
    <row r="184" spans="1:28" x14ac:dyDescent="0.4">
      <c r="A184">
        <v>183</v>
      </c>
      <c r="B184">
        <v>183</v>
      </c>
      <c r="C184" t="s">
        <v>39</v>
      </c>
      <c r="D184" t="s">
        <v>260</v>
      </c>
      <c r="E184">
        <v>1</v>
      </c>
      <c r="F184">
        <v>1</v>
      </c>
      <c r="G184">
        <v>3</v>
      </c>
      <c r="H184">
        <v>3</v>
      </c>
      <c r="I184">
        <v>0</v>
      </c>
      <c r="J184">
        <v>24</v>
      </c>
      <c r="K184">
        <v>0</v>
      </c>
      <c r="L184">
        <v>3</v>
      </c>
      <c r="M184">
        <v>1</v>
      </c>
      <c r="N184">
        <v>0</v>
      </c>
      <c r="O184">
        <v>1</v>
      </c>
      <c r="P184">
        <v>0</v>
      </c>
      <c r="Q184">
        <v>0</v>
      </c>
      <c r="R184">
        <v>7</v>
      </c>
      <c r="S184">
        <v>0</v>
      </c>
      <c r="T184" t="s">
        <v>41</v>
      </c>
      <c r="U184" t="s">
        <v>261</v>
      </c>
      <c r="V184">
        <v>0</v>
      </c>
      <c r="W184">
        <v>20</v>
      </c>
      <c r="X184">
        <v>22</v>
      </c>
      <c r="Y184">
        <v>18</v>
      </c>
      <c r="AA184">
        <v>0</v>
      </c>
      <c r="AB184">
        <v>0</v>
      </c>
    </row>
    <row r="185" spans="1:28" x14ac:dyDescent="0.4">
      <c r="A185">
        <v>184</v>
      </c>
      <c r="B185">
        <v>184</v>
      </c>
      <c r="C185" t="s">
        <v>59</v>
      </c>
      <c r="D185" t="s">
        <v>262</v>
      </c>
      <c r="E185">
        <v>3</v>
      </c>
      <c r="F185">
        <v>5</v>
      </c>
      <c r="G185">
        <v>6</v>
      </c>
      <c r="H185">
        <v>6</v>
      </c>
      <c r="I185">
        <v>14</v>
      </c>
      <c r="J185">
        <v>3</v>
      </c>
      <c r="K185">
        <v>0</v>
      </c>
      <c r="L185">
        <v>6</v>
      </c>
      <c r="M185">
        <v>0</v>
      </c>
      <c r="N185">
        <v>0</v>
      </c>
      <c r="O185">
        <v>2</v>
      </c>
      <c r="P185">
        <v>0</v>
      </c>
      <c r="Q185">
        <v>0</v>
      </c>
      <c r="R185">
        <v>0</v>
      </c>
      <c r="S185">
        <v>0</v>
      </c>
      <c r="T185" t="s">
        <v>56</v>
      </c>
      <c r="U185" t="s">
        <v>64</v>
      </c>
      <c r="V185">
        <v>1</v>
      </c>
      <c r="W185">
        <v>2</v>
      </c>
      <c r="X185">
        <v>0</v>
      </c>
      <c r="Y185">
        <v>6</v>
      </c>
      <c r="AA185">
        <v>4</v>
      </c>
      <c r="AB185">
        <v>6</v>
      </c>
    </row>
    <row r="186" spans="1:28" x14ac:dyDescent="0.4">
      <c r="A186">
        <v>185</v>
      </c>
      <c r="B186">
        <v>185</v>
      </c>
      <c r="C186" t="s">
        <v>251</v>
      </c>
      <c r="D186" t="s">
        <v>263</v>
      </c>
      <c r="E186">
        <v>22</v>
      </c>
      <c r="F186">
        <v>39</v>
      </c>
      <c r="G186">
        <v>48</v>
      </c>
      <c r="H186">
        <v>44</v>
      </c>
      <c r="I186">
        <v>18</v>
      </c>
      <c r="J186">
        <v>0</v>
      </c>
      <c r="K186">
        <v>0</v>
      </c>
      <c r="L186">
        <v>9</v>
      </c>
      <c r="M186">
        <v>0</v>
      </c>
      <c r="N186">
        <v>0</v>
      </c>
      <c r="O186">
        <v>3</v>
      </c>
      <c r="P186">
        <v>0</v>
      </c>
      <c r="Q186">
        <v>0</v>
      </c>
      <c r="R186">
        <v>2</v>
      </c>
      <c r="S186">
        <v>0</v>
      </c>
      <c r="T186" t="s">
        <v>56</v>
      </c>
      <c r="U186" t="s">
        <v>80</v>
      </c>
      <c r="V186">
        <v>1</v>
      </c>
      <c r="W186">
        <v>2</v>
      </c>
      <c r="X186">
        <v>0</v>
      </c>
      <c r="Y186">
        <v>6</v>
      </c>
      <c r="AA186">
        <v>4</v>
      </c>
      <c r="AB186">
        <v>7</v>
      </c>
    </row>
    <row r="187" spans="1:28" x14ac:dyDescent="0.4">
      <c r="A187">
        <v>186</v>
      </c>
      <c r="B187">
        <v>186</v>
      </c>
      <c r="C187" t="s">
        <v>243</v>
      </c>
      <c r="D187" t="s">
        <v>264</v>
      </c>
      <c r="E187">
        <v>21</v>
      </c>
      <c r="F187">
        <v>38</v>
      </c>
      <c r="G187">
        <v>47</v>
      </c>
      <c r="H187">
        <v>37</v>
      </c>
      <c r="I187">
        <v>4</v>
      </c>
      <c r="J187">
        <v>0</v>
      </c>
      <c r="K187">
        <v>11</v>
      </c>
      <c r="L187">
        <v>4</v>
      </c>
      <c r="M187">
        <v>0</v>
      </c>
      <c r="N187">
        <v>2</v>
      </c>
      <c r="O187">
        <v>0</v>
      </c>
      <c r="P187">
        <v>4</v>
      </c>
      <c r="Q187">
        <v>0</v>
      </c>
      <c r="R187">
        <v>1</v>
      </c>
      <c r="S187">
        <v>12</v>
      </c>
      <c r="T187" t="s">
        <v>56</v>
      </c>
      <c r="U187" t="s">
        <v>80</v>
      </c>
      <c r="V187">
        <v>8</v>
      </c>
      <c r="W187">
        <v>6</v>
      </c>
      <c r="X187">
        <v>0</v>
      </c>
      <c r="Y187">
        <v>15</v>
      </c>
      <c r="AA187">
        <v>8</v>
      </c>
      <c r="AB187">
        <v>12</v>
      </c>
    </row>
    <row r="188" spans="1:28" x14ac:dyDescent="0.4">
      <c r="A188">
        <v>187</v>
      </c>
      <c r="B188">
        <v>187</v>
      </c>
      <c r="C188" t="s">
        <v>243</v>
      </c>
      <c r="D188" t="s">
        <v>265</v>
      </c>
      <c r="E188">
        <v>21</v>
      </c>
      <c r="F188">
        <v>38</v>
      </c>
      <c r="G188">
        <v>47</v>
      </c>
      <c r="H188">
        <v>37</v>
      </c>
      <c r="I188">
        <v>4</v>
      </c>
      <c r="J188">
        <v>0</v>
      </c>
      <c r="K188">
        <v>14</v>
      </c>
      <c r="L188">
        <v>3</v>
      </c>
      <c r="M188">
        <v>0</v>
      </c>
      <c r="N188">
        <v>3</v>
      </c>
      <c r="O188">
        <v>0</v>
      </c>
      <c r="P188">
        <v>3</v>
      </c>
      <c r="Q188">
        <v>0</v>
      </c>
      <c r="R188">
        <v>1</v>
      </c>
      <c r="S188">
        <v>14</v>
      </c>
      <c r="T188" t="s">
        <v>56</v>
      </c>
      <c r="U188" t="s">
        <v>80</v>
      </c>
      <c r="V188">
        <v>9</v>
      </c>
      <c r="W188">
        <v>6</v>
      </c>
      <c r="X188">
        <v>0</v>
      </c>
      <c r="Y188">
        <v>17</v>
      </c>
      <c r="AA188">
        <v>9</v>
      </c>
      <c r="AB188">
        <v>13</v>
      </c>
    </row>
    <row r="189" spans="1:28" x14ac:dyDescent="0.4">
      <c r="A189">
        <v>188</v>
      </c>
      <c r="B189">
        <v>188</v>
      </c>
      <c r="C189" t="s">
        <v>54</v>
      </c>
      <c r="D189" t="s">
        <v>266</v>
      </c>
      <c r="E189">
        <v>3</v>
      </c>
      <c r="F189">
        <v>5</v>
      </c>
      <c r="G189">
        <v>8</v>
      </c>
      <c r="H189">
        <v>8</v>
      </c>
      <c r="I189">
        <v>14</v>
      </c>
      <c r="J189">
        <v>3</v>
      </c>
      <c r="K189">
        <v>4</v>
      </c>
      <c r="L189">
        <v>4</v>
      </c>
      <c r="M189">
        <v>0</v>
      </c>
      <c r="N189">
        <v>0</v>
      </c>
      <c r="O189">
        <v>2</v>
      </c>
      <c r="P189">
        <v>0</v>
      </c>
      <c r="Q189">
        <v>0</v>
      </c>
      <c r="R189">
        <v>0</v>
      </c>
      <c r="S189">
        <v>0</v>
      </c>
      <c r="T189" t="s">
        <v>56</v>
      </c>
      <c r="U189" t="s">
        <v>80</v>
      </c>
      <c r="V189">
        <v>1</v>
      </c>
      <c r="W189">
        <v>3</v>
      </c>
      <c r="X189">
        <v>0</v>
      </c>
      <c r="Y189">
        <v>6</v>
      </c>
      <c r="AA189">
        <v>3</v>
      </c>
      <c r="AB189">
        <v>6</v>
      </c>
    </row>
    <row r="190" spans="1:28" x14ac:dyDescent="0.4">
      <c r="A190">
        <v>189</v>
      </c>
      <c r="B190">
        <v>189</v>
      </c>
      <c r="C190" t="s">
        <v>59</v>
      </c>
      <c r="D190" t="s">
        <v>267</v>
      </c>
      <c r="E190">
        <v>3</v>
      </c>
      <c r="F190">
        <v>5</v>
      </c>
      <c r="G190">
        <v>6</v>
      </c>
      <c r="H190">
        <v>6</v>
      </c>
      <c r="I190">
        <v>14</v>
      </c>
      <c r="J190">
        <v>1</v>
      </c>
      <c r="K190">
        <v>0</v>
      </c>
      <c r="L190">
        <v>11</v>
      </c>
      <c r="M190">
        <v>0</v>
      </c>
      <c r="N190">
        <v>0</v>
      </c>
      <c r="O190">
        <v>3</v>
      </c>
      <c r="P190">
        <v>0</v>
      </c>
      <c r="Q190">
        <v>0</v>
      </c>
      <c r="R190">
        <v>0</v>
      </c>
      <c r="S190">
        <v>0</v>
      </c>
      <c r="T190" t="s">
        <v>56</v>
      </c>
      <c r="U190" t="s">
        <v>113</v>
      </c>
      <c r="V190">
        <v>2</v>
      </c>
      <c r="W190">
        <v>3</v>
      </c>
      <c r="X190">
        <v>0</v>
      </c>
      <c r="Y190">
        <v>10</v>
      </c>
      <c r="AA190">
        <v>3</v>
      </c>
      <c r="AB190">
        <v>6</v>
      </c>
    </row>
    <row r="191" spans="1:28" x14ac:dyDescent="0.4">
      <c r="A191">
        <v>190</v>
      </c>
      <c r="B191">
        <v>190</v>
      </c>
      <c r="C191" t="s">
        <v>39</v>
      </c>
      <c r="D191" t="s">
        <v>268</v>
      </c>
      <c r="E191">
        <v>1</v>
      </c>
      <c r="F191">
        <v>1</v>
      </c>
      <c r="G191">
        <v>3</v>
      </c>
      <c r="H191">
        <v>3</v>
      </c>
      <c r="I191">
        <v>0</v>
      </c>
      <c r="J191">
        <v>18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1</v>
      </c>
      <c r="S191">
        <v>0</v>
      </c>
      <c r="T191" t="s">
        <v>41</v>
      </c>
      <c r="U191" t="s">
        <v>64</v>
      </c>
      <c r="V191">
        <v>0</v>
      </c>
      <c r="W191">
        <v>11</v>
      </c>
      <c r="X191">
        <v>18</v>
      </c>
      <c r="Y191">
        <v>0</v>
      </c>
      <c r="AA191">
        <v>0</v>
      </c>
      <c r="AB191">
        <v>0</v>
      </c>
    </row>
    <row r="192" spans="1:28" x14ac:dyDescent="0.4">
      <c r="A192">
        <v>191</v>
      </c>
      <c r="B192">
        <v>191</v>
      </c>
      <c r="C192" t="s">
        <v>88</v>
      </c>
      <c r="D192" t="s">
        <v>269</v>
      </c>
      <c r="E192">
        <v>4</v>
      </c>
      <c r="F192">
        <v>6</v>
      </c>
      <c r="G192">
        <v>21</v>
      </c>
      <c r="H192">
        <v>15</v>
      </c>
      <c r="I192">
        <v>0</v>
      </c>
      <c r="J192">
        <v>1</v>
      </c>
      <c r="K192">
        <v>0</v>
      </c>
      <c r="L192">
        <v>10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56</v>
      </c>
      <c r="U192" t="s">
        <v>64</v>
      </c>
      <c r="V192">
        <v>0</v>
      </c>
      <c r="W192">
        <v>6</v>
      </c>
      <c r="X192">
        <v>1</v>
      </c>
      <c r="Y192">
        <v>2</v>
      </c>
      <c r="AA192">
        <v>0</v>
      </c>
      <c r="AB192">
        <v>0</v>
      </c>
    </row>
    <row r="193" spans="1:28" x14ac:dyDescent="0.4">
      <c r="A193">
        <v>192</v>
      </c>
      <c r="B193">
        <v>192</v>
      </c>
      <c r="C193" t="s">
        <v>39</v>
      </c>
      <c r="D193" t="s">
        <v>270</v>
      </c>
      <c r="E193">
        <v>1</v>
      </c>
      <c r="F193">
        <v>1</v>
      </c>
      <c r="G193">
        <v>3</v>
      </c>
      <c r="H193">
        <v>3</v>
      </c>
      <c r="I193">
        <v>0</v>
      </c>
      <c r="J193">
        <v>19</v>
      </c>
      <c r="K193">
        <v>0</v>
      </c>
      <c r="L193">
        <v>3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2</v>
      </c>
      <c r="S193">
        <v>0</v>
      </c>
      <c r="T193" t="s">
        <v>41</v>
      </c>
      <c r="U193" t="s">
        <v>80</v>
      </c>
      <c r="V193">
        <v>0</v>
      </c>
      <c r="W193">
        <v>12</v>
      </c>
      <c r="X193">
        <v>19</v>
      </c>
      <c r="Y193">
        <v>2</v>
      </c>
      <c r="AA193">
        <v>0</v>
      </c>
      <c r="AB193">
        <v>0</v>
      </c>
    </row>
    <row r="194" spans="1:28" x14ac:dyDescent="0.4">
      <c r="A194">
        <v>193</v>
      </c>
      <c r="B194">
        <v>193</v>
      </c>
      <c r="C194" t="s">
        <v>125</v>
      </c>
      <c r="D194" t="s">
        <v>271</v>
      </c>
      <c r="E194">
        <v>8</v>
      </c>
      <c r="F194">
        <v>14</v>
      </c>
      <c r="G194">
        <v>24</v>
      </c>
      <c r="H194">
        <v>20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t="s">
        <v>56</v>
      </c>
      <c r="U194" t="s">
        <v>45</v>
      </c>
      <c r="V194">
        <v>2</v>
      </c>
      <c r="W194">
        <v>2</v>
      </c>
      <c r="X194">
        <v>0</v>
      </c>
      <c r="Y194">
        <v>1</v>
      </c>
      <c r="AA194">
        <v>0</v>
      </c>
      <c r="AB194">
        <v>0</v>
      </c>
    </row>
    <row r="195" spans="1:28" x14ac:dyDescent="0.4">
      <c r="A195">
        <v>194</v>
      </c>
      <c r="B195">
        <v>194</v>
      </c>
      <c r="C195" t="s">
        <v>70</v>
      </c>
      <c r="D195" t="s">
        <v>272</v>
      </c>
      <c r="E195">
        <v>5</v>
      </c>
      <c r="F195">
        <v>43</v>
      </c>
      <c r="G195">
        <v>11</v>
      </c>
      <c r="H195">
        <v>10</v>
      </c>
      <c r="I195">
        <v>14</v>
      </c>
      <c r="J195">
        <v>2</v>
      </c>
      <c r="K195">
        <v>4</v>
      </c>
      <c r="L195">
        <v>1</v>
      </c>
      <c r="M195">
        <v>0</v>
      </c>
      <c r="N195">
        <v>2</v>
      </c>
      <c r="O195">
        <v>1</v>
      </c>
      <c r="P195">
        <v>4</v>
      </c>
      <c r="Q195">
        <v>0</v>
      </c>
      <c r="R195">
        <v>0</v>
      </c>
      <c r="S195">
        <v>5</v>
      </c>
      <c r="T195" t="s">
        <v>56</v>
      </c>
      <c r="U195" t="s">
        <v>64</v>
      </c>
      <c r="V195">
        <v>2</v>
      </c>
      <c r="W195">
        <v>4</v>
      </c>
      <c r="X195">
        <v>0</v>
      </c>
      <c r="Y195">
        <v>5</v>
      </c>
      <c r="AA195">
        <v>4</v>
      </c>
      <c r="AB195">
        <v>7</v>
      </c>
    </row>
    <row r="196" spans="1:28" x14ac:dyDescent="0.4">
      <c r="A196">
        <v>195</v>
      </c>
      <c r="B196">
        <v>195</v>
      </c>
      <c r="C196" t="s">
        <v>65</v>
      </c>
      <c r="D196" t="s">
        <v>273</v>
      </c>
      <c r="E196">
        <v>3</v>
      </c>
      <c r="F196">
        <v>5</v>
      </c>
      <c r="G196">
        <v>7</v>
      </c>
      <c r="H196">
        <v>7</v>
      </c>
      <c r="I196">
        <v>21</v>
      </c>
      <c r="J196">
        <v>1</v>
      </c>
      <c r="K196">
        <v>0</v>
      </c>
      <c r="L196">
        <v>2</v>
      </c>
      <c r="M196">
        <v>0</v>
      </c>
      <c r="N196">
        <v>3</v>
      </c>
      <c r="O196">
        <v>2</v>
      </c>
      <c r="P196">
        <v>2</v>
      </c>
      <c r="Q196">
        <v>0</v>
      </c>
      <c r="R196">
        <v>1</v>
      </c>
      <c r="S196">
        <v>6</v>
      </c>
      <c r="T196" t="s">
        <v>56</v>
      </c>
      <c r="U196" t="s">
        <v>45</v>
      </c>
      <c r="V196">
        <v>1</v>
      </c>
      <c r="W196">
        <v>3</v>
      </c>
      <c r="X196">
        <v>0</v>
      </c>
      <c r="Y196">
        <v>2</v>
      </c>
      <c r="AA196">
        <v>4</v>
      </c>
      <c r="AB196">
        <v>5</v>
      </c>
    </row>
    <row r="197" spans="1:28" x14ac:dyDescent="0.4">
      <c r="A197">
        <v>196</v>
      </c>
      <c r="B197">
        <v>196</v>
      </c>
      <c r="C197" t="s">
        <v>54</v>
      </c>
      <c r="D197" t="s">
        <v>274</v>
      </c>
      <c r="E197">
        <v>3</v>
      </c>
      <c r="F197">
        <v>5</v>
      </c>
      <c r="G197">
        <v>8</v>
      </c>
      <c r="H197">
        <v>8</v>
      </c>
      <c r="I197">
        <v>21</v>
      </c>
      <c r="J197">
        <v>1</v>
      </c>
      <c r="K197">
        <v>5</v>
      </c>
      <c r="L197">
        <v>0</v>
      </c>
      <c r="M197">
        <v>0</v>
      </c>
      <c r="N197">
        <v>4</v>
      </c>
      <c r="O197">
        <v>0</v>
      </c>
      <c r="P197">
        <v>2</v>
      </c>
      <c r="Q197">
        <v>0</v>
      </c>
      <c r="R197">
        <v>0</v>
      </c>
      <c r="S197">
        <v>0</v>
      </c>
      <c r="T197" t="s">
        <v>56</v>
      </c>
      <c r="U197" t="s">
        <v>45</v>
      </c>
      <c r="V197">
        <v>1</v>
      </c>
      <c r="W197">
        <v>4</v>
      </c>
      <c r="X197">
        <v>0</v>
      </c>
      <c r="Y197">
        <v>3</v>
      </c>
      <c r="AA197">
        <v>4</v>
      </c>
      <c r="AB197">
        <v>6</v>
      </c>
    </row>
    <row r="198" spans="1:28" x14ac:dyDescent="0.4">
      <c r="A198">
        <v>197</v>
      </c>
      <c r="B198">
        <v>197</v>
      </c>
      <c r="C198" t="s">
        <v>59</v>
      </c>
      <c r="D198" t="s">
        <v>275</v>
      </c>
      <c r="E198">
        <v>3</v>
      </c>
      <c r="F198">
        <v>5</v>
      </c>
      <c r="G198">
        <v>6</v>
      </c>
      <c r="H198">
        <v>6</v>
      </c>
      <c r="I198">
        <v>21</v>
      </c>
      <c r="J198">
        <v>1</v>
      </c>
      <c r="K198">
        <v>0</v>
      </c>
      <c r="L198">
        <v>4</v>
      </c>
      <c r="M198">
        <v>0</v>
      </c>
      <c r="N198">
        <v>0</v>
      </c>
      <c r="O198">
        <v>2</v>
      </c>
      <c r="P198">
        <v>0</v>
      </c>
      <c r="Q198">
        <v>0</v>
      </c>
      <c r="R198">
        <v>0</v>
      </c>
      <c r="S198">
        <v>0</v>
      </c>
      <c r="T198" t="s">
        <v>56</v>
      </c>
      <c r="U198" t="s">
        <v>45</v>
      </c>
      <c r="V198">
        <v>1</v>
      </c>
      <c r="W198">
        <v>2</v>
      </c>
      <c r="X198">
        <v>0</v>
      </c>
      <c r="Y198">
        <v>2</v>
      </c>
      <c r="AA198">
        <v>4</v>
      </c>
      <c r="AB198">
        <v>5</v>
      </c>
    </row>
    <row r="199" spans="1:28" x14ac:dyDescent="0.4">
      <c r="A199">
        <v>198</v>
      </c>
      <c r="B199">
        <v>198</v>
      </c>
      <c r="C199" t="s">
        <v>59</v>
      </c>
      <c r="D199" t="s">
        <v>276</v>
      </c>
      <c r="E199">
        <v>3</v>
      </c>
      <c r="F199">
        <v>5</v>
      </c>
      <c r="G199">
        <v>6</v>
      </c>
      <c r="H199">
        <v>6</v>
      </c>
      <c r="I199">
        <v>21</v>
      </c>
      <c r="J199">
        <v>1</v>
      </c>
      <c r="K199">
        <v>0</v>
      </c>
      <c r="L199">
        <v>5</v>
      </c>
      <c r="M199">
        <v>0</v>
      </c>
      <c r="N199">
        <v>0</v>
      </c>
      <c r="O199">
        <v>2</v>
      </c>
      <c r="P199">
        <v>1</v>
      </c>
      <c r="Q199">
        <v>0</v>
      </c>
      <c r="R199">
        <v>1</v>
      </c>
      <c r="S199">
        <v>0</v>
      </c>
      <c r="T199" t="s">
        <v>56</v>
      </c>
      <c r="U199" t="s">
        <v>64</v>
      </c>
      <c r="V199">
        <v>1</v>
      </c>
      <c r="W199">
        <v>3</v>
      </c>
      <c r="X199">
        <v>0</v>
      </c>
      <c r="Y199">
        <v>2</v>
      </c>
      <c r="AA199">
        <v>4</v>
      </c>
      <c r="AB199">
        <v>6</v>
      </c>
    </row>
    <row r="200" spans="1:28" x14ac:dyDescent="0.4">
      <c r="A200">
        <v>199</v>
      </c>
      <c r="B200">
        <v>199</v>
      </c>
      <c r="C200" t="s">
        <v>277</v>
      </c>
      <c r="D200" t="s">
        <v>278</v>
      </c>
      <c r="E200">
        <v>3</v>
      </c>
      <c r="F200">
        <v>40</v>
      </c>
      <c r="G200">
        <v>57</v>
      </c>
      <c r="H200">
        <v>39</v>
      </c>
      <c r="I200">
        <v>22</v>
      </c>
      <c r="J200">
        <v>0</v>
      </c>
      <c r="K200">
        <v>0</v>
      </c>
      <c r="L200">
        <v>6</v>
      </c>
      <c r="M200">
        <v>0</v>
      </c>
      <c r="N200">
        <v>0</v>
      </c>
      <c r="O200">
        <v>0</v>
      </c>
      <c r="P200">
        <v>3</v>
      </c>
      <c r="Q200">
        <v>0</v>
      </c>
      <c r="R200">
        <v>1</v>
      </c>
      <c r="S200">
        <v>15</v>
      </c>
      <c r="T200" t="s">
        <v>41</v>
      </c>
      <c r="U200" t="s">
        <v>113</v>
      </c>
      <c r="V200">
        <v>7</v>
      </c>
      <c r="W200">
        <v>5</v>
      </c>
      <c r="X200">
        <v>12</v>
      </c>
      <c r="Y200">
        <v>16</v>
      </c>
      <c r="AA200">
        <v>3</v>
      </c>
      <c r="AB200">
        <v>14</v>
      </c>
    </row>
    <row r="201" spans="1:28" x14ac:dyDescent="0.4">
      <c r="A201">
        <v>200</v>
      </c>
      <c r="B201">
        <v>200</v>
      </c>
      <c r="C201" t="s">
        <v>277</v>
      </c>
      <c r="D201" t="s">
        <v>279</v>
      </c>
      <c r="E201">
        <v>3</v>
      </c>
      <c r="F201">
        <v>40</v>
      </c>
      <c r="G201">
        <v>57</v>
      </c>
      <c r="H201">
        <v>40</v>
      </c>
      <c r="I201">
        <v>23</v>
      </c>
      <c r="J201">
        <v>0</v>
      </c>
      <c r="K201">
        <v>0</v>
      </c>
      <c r="L201">
        <v>12</v>
      </c>
      <c r="M201">
        <v>0</v>
      </c>
      <c r="N201">
        <v>0</v>
      </c>
      <c r="O201">
        <v>1</v>
      </c>
      <c r="P201">
        <v>0</v>
      </c>
      <c r="Q201">
        <v>0</v>
      </c>
      <c r="R201">
        <v>0</v>
      </c>
      <c r="S201">
        <v>11</v>
      </c>
      <c r="T201" t="s">
        <v>41</v>
      </c>
      <c r="U201" t="s">
        <v>113</v>
      </c>
      <c r="V201">
        <v>6</v>
      </c>
      <c r="W201">
        <v>4</v>
      </c>
      <c r="X201">
        <v>10</v>
      </c>
      <c r="Y201">
        <v>14</v>
      </c>
      <c r="AA201">
        <v>2</v>
      </c>
      <c r="AB201">
        <v>13</v>
      </c>
    </row>
    <row r="202" spans="1:28" x14ac:dyDescent="0.4">
      <c r="A202">
        <v>201</v>
      </c>
      <c r="B202">
        <v>201</v>
      </c>
      <c r="C202" t="s">
        <v>251</v>
      </c>
      <c r="D202" t="s">
        <v>280</v>
      </c>
      <c r="E202">
        <v>22</v>
      </c>
      <c r="F202">
        <v>39</v>
      </c>
      <c r="G202">
        <v>48</v>
      </c>
      <c r="H202">
        <v>38</v>
      </c>
      <c r="I202">
        <v>12</v>
      </c>
      <c r="J202">
        <v>0</v>
      </c>
      <c r="K202">
        <v>0</v>
      </c>
      <c r="L202">
        <v>8</v>
      </c>
      <c r="M202">
        <v>1</v>
      </c>
      <c r="N202">
        <v>0</v>
      </c>
      <c r="O202">
        <v>1</v>
      </c>
      <c r="P202">
        <v>0</v>
      </c>
      <c r="Q202">
        <v>0</v>
      </c>
      <c r="R202">
        <v>1</v>
      </c>
      <c r="S202">
        <v>0</v>
      </c>
      <c r="T202" t="s">
        <v>56</v>
      </c>
      <c r="U202" t="s">
        <v>64</v>
      </c>
      <c r="V202">
        <v>2</v>
      </c>
      <c r="W202">
        <v>2</v>
      </c>
      <c r="X202">
        <v>0</v>
      </c>
      <c r="Y202">
        <v>6</v>
      </c>
      <c r="AA202">
        <v>3</v>
      </c>
      <c r="AB202">
        <v>6</v>
      </c>
    </row>
    <row r="203" spans="1:28" x14ac:dyDescent="0.4">
      <c r="A203">
        <v>202</v>
      </c>
      <c r="B203">
        <v>202</v>
      </c>
      <c r="C203" t="s">
        <v>251</v>
      </c>
      <c r="D203" t="s">
        <v>281</v>
      </c>
      <c r="E203">
        <v>22</v>
      </c>
      <c r="F203">
        <v>39</v>
      </c>
      <c r="G203">
        <v>48</v>
      </c>
      <c r="H203">
        <v>38</v>
      </c>
      <c r="I203">
        <v>12</v>
      </c>
      <c r="J203">
        <v>0</v>
      </c>
      <c r="K203">
        <v>0</v>
      </c>
      <c r="L203">
        <v>9</v>
      </c>
      <c r="M203">
        <v>2</v>
      </c>
      <c r="N203">
        <v>0</v>
      </c>
      <c r="O203">
        <v>3</v>
      </c>
      <c r="P203">
        <v>0</v>
      </c>
      <c r="Q203">
        <v>0</v>
      </c>
      <c r="R203">
        <v>1</v>
      </c>
      <c r="S203">
        <v>0</v>
      </c>
      <c r="T203" t="s">
        <v>56</v>
      </c>
      <c r="U203" t="s">
        <v>64</v>
      </c>
      <c r="V203">
        <v>2</v>
      </c>
      <c r="W203">
        <v>2</v>
      </c>
      <c r="X203">
        <v>0</v>
      </c>
      <c r="Y203">
        <v>7</v>
      </c>
      <c r="AA203">
        <v>4</v>
      </c>
      <c r="AB203">
        <v>6</v>
      </c>
    </row>
    <row r="204" spans="1:28" x14ac:dyDescent="0.4">
      <c r="A204">
        <v>203</v>
      </c>
      <c r="B204">
        <v>203</v>
      </c>
      <c r="C204" t="s">
        <v>132</v>
      </c>
      <c r="D204" t="s">
        <v>282</v>
      </c>
      <c r="E204">
        <v>6</v>
      </c>
      <c r="F204">
        <v>17</v>
      </c>
      <c r="G204">
        <v>27</v>
      </c>
      <c r="H204">
        <v>23</v>
      </c>
      <c r="I204">
        <v>0</v>
      </c>
      <c r="J204">
        <v>0</v>
      </c>
      <c r="K204">
        <v>0</v>
      </c>
      <c r="L204">
        <v>0</v>
      </c>
      <c r="M204">
        <v>8</v>
      </c>
      <c r="N204">
        <v>0</v>
      </c>
      <c r="O204">
        <v>-1</v>
      </c>
      <c r="P204">
        <v>0</v>
      </c>
      <c r="Q204">
        <v>0</v>
      </c>
      <c r="R204">
        <v>0</v>
      </c>
      <c r="S204">
        <v>0</v>
      </c>
      <c r="T204" t="s">
        <v>56</v>
      </c>
      <c r="U204" t="s">
        <v>64</v>
      </c>
      <c r="V204">
        <v>0</v>
      </c>
      <c r="W204">
        <v>0</v>
      </c>
      <c r="X204">
        <v>24</v>
      </c>
      <c r="Y204">
        <v>2</v>
      </c>
      <c r="AA204">
        <v>0</v>
      </c>
      <c r="AB204">
        <v>0</v>
      </c>
    </row>
    <row r="205" spans="1:28" x14ac:dyDescent="0.4">
      <c r="A205">
        <v>204</v>
      </c>
      <c r="B205">
        <v>204</v>
      </c>
      <c r="C205" t="s">
        <v>134</v>
      </c>
      <c r="D205" t="s">
        <v>283</v>
      </c>
      <c r="E205">
        <v>6</v>
      </c>
      <c r="F205">
        <v>17</v>
      </c>
      <c r="G205">
        <v>28</v>
      </c>
      <c r="H205">
        <v>23</v>
      </c>
      <c r="I205">
        <v>0</v>
      </c>
      <c r="J205">
        <v>0</v>
      </c>
      <c r="K205">
        <v>0</v>
      </c>
      <c r="L205">
        <v>0</v>
      </c>
      <c r="M205">
        <v>10</v>
      </c>
      <c r="N205">
        <v>0</v>
      </c>
      <c r="O205">
        <v>-2</v>
      </c>
      <c r="P205">
        <v>0</v>
      </c>
      <c r="Q205">
        <v>0</v>
      </c>
      <c r="R205">
        <v>0</v>
      </c>
      <c r="S205">
        <v>0</v>
      </c>
      <c r="T205" t="s">
        <v>56</v>
      </c>
      <c r="U205" t="s">
        <v>64</v>
      </c>
      <c r="V205">
        <v>0</v>
      </c>
      <c r="W205">
        <v>0</v>
      </c>
      <c r="X205">
        <v>30</v>
      </c>
      <c r="Y205">
        <v>3</v>
      </c>
      <c r="AA205">
        <v>0</v>
      </c>
      <c r="AB205">
        <v>0</v>
      </c>
    </row>
    <row r="206" spans="1:28" x14ac:dyDescent="0.4">
      <c r="A206">
        <v>205</v>
      </c>
      <c r="B206">
        <v>205</v>
      </c>
      <c r="C206" t="s">
        <v>59</v>
      </c>
      <c r="D206" t="s">
        <v>284</v>
      </c>
      <c r="E206">
        <v>3</v>
      </c>
      <c r="F206">
        <v>5</v>
      </c>
      <c r="G206">
        <v>6</v>
      </c>
      <c r="H206">
        <v>6</v>
      </c>
      <c r="I206">
        <v>21</v>
      </c>
      <c r="J206">
        <v>1</v>
      </c>
      <c r="K206">
        <v>0</v>
      </c>
      <c r="L206">
        <v>8</v>
      </c>
      <c r="M206">
        <v>0</v>
      </c>
      <c r="N206">
        <v>0</v>
      </c>
      <c r="O206">
        <v>2</v>
      </c>
      <c r="P206">
        <v>1</v>
      </c>
      <c r="Q206">
        <v>0</v>
      </c>
      <c r="R206">
        <v>1</v>
      </c>
      <c r="S206">
        <v>0</v>
      </c>
      <c r="T206" t="s">
        <v>56</v>
      </c>
      <c r="U206" t="s">
        <v>80</v>
      </c>
      <c r="V206">
        <v>1</v>
      </c>
      <c r="W206">
        <v>2</v>
      </c>
      <c r="X206">
        <v>0</v>
      </c>
      <c r="Y206">
        <v>3</v>
      </c>
      <c r="AA206">
        <v>5</v>
      </c>
      <c r="AB206">
        <v>8</v>
      </c>
    </row>
    <row r="207" spans="1:28" x14ac:dyDescent="0.4">
      <c r="A207">
        <v>206</v>
      </c>
      <c r="B207">
        <v>206</v>
      </c>
      <c r="C207" t="s">
        <v>59</v>
      </c>
      <c r="D207" t="s">
        <v>285</v>
      </c>
      <c r="E207">
        <v>3</v>
      </c>
      <c r="F207">
        <v>5</v>
      </c>
      <c r="G207">
        <v>6</v>
      </c>
      <c r="H207">
        <v>6</v>
      </c>
      <c r="I207">
        <v>21</v>
      </c>
      <c r="J207">
        <v>1</v>
      </c>
      <c r="K207">
        <v>0</v>
      </c>
      <c r="L207">
        <v>10</v>
      </c>
      <c r="M207">
        <v>0</v>
      </c>
      <c r="N207">
        <v>0</v>
      </c>
      <c r="O207">
        <v>3</v>
      </c>
      <c r="P207">
        <v>1</v>
      </c>
      <c r="Q207">
        <v>0</v>
      </c>
      <c r="R207">
        <v>1</v>
      </c>
      <c r="S207">
        <v>0</v>
      </c>
      <c r="T207" t="s">
        <v>56</v>
      </c>
      <c r="U207" t="s">
        <v>113</v>
      </c>
      <c r="V207">
        <v>2</v>
      </c>
      <c r="W207">
        <v>4</v>
      </c>
      <c r="X207">
        <v>0</v>
      </c>
      <c r="Y207">
        <v>5</v>
      </c>
      <c r="AA207">
        <v>5</v>
      </c>
      <c r="AB207">
        <v>8</v>
      </c>
    </row>
    <row r="208" spans="1:28" x14ac:dyDescent="0.4">
      <c r="A208">
        <v>207</v>
      </c>
      <c r="B208">
        <v>207</v>
      </c>
      <c r="C208" t="s">
        <v>70</v>
      </c>
      <c r="D208" t="s">
        <v>286</v>
      </c>
      <c r="E208">
        <v>5</v>
      </c>
      <c r="F208">
        <v>43</v>
      </c>
      <c r="G208">
        <v>11</v>
      </c>
      <c r="H208">
        <v>10</v>
      </c>
      <c r="I208">
        <v>24</v>
      </c>
      <c r="J208">
        <v>0</v>
      </c>
      <c r="K208">
        <v>0</v>
      </c>
      <c r="L208">
        <v>1</v>
      </c>
      <c r="M208">
        <v>0</v>
      </c>
      <c r="N208">
        <v>2</v>
      </c>
      <c r="O208">
        <v>0</v>
      </c>
      <c r="P208">
        <v>4</v>
      </c>
      <c r="Q208">
        <v>0</v>
      </c>
      <c r="R208">
        <v>2</v>
      </c>
      <c r="S208">
        <v>7</v>
      </c>
      <c r="T208" t="s">
        <v>56</v>
      </c>
      <c r="U208" t="s">
        <v>64</v>
      </c>
      <c r="V208">
        <v>2</v>
      </c>
      <c r="W208">
        <v>3</v>
      </c>
      <c r="X208">
        <v>0</v>
      </c>
      <c r="Y208">
        <v>5</v>
      </c>
      <c r="AA208">
        <v>5</v>
      </c>
      <c r="AB208">
        <v>6</v>
      </c>
    </row>
    <row r="209" spans="1:28" x14ac:dyDescent="0.4">
      <c r="A209">
        <v>208</v>
      </c>
      <c r="B209">
        <v>208</v>
      </c>
      <c r="C209" t="s">
        <v>70</v>
      </c>
      <c r="D209" t="s">
        <v>287</v>
      </c>
      <c r="E209">
        <v>5</v>
      </c>
      <c r="F209">
        <v>43</v>
      </c>
      <c r="G209">
        <v>11</v>
      </c>
      <c r="H209">
        <v>10</v>
      </c>
      <c r="I209">
        <v>2</v>
      </c>
      <c r="J209">
        <v>0</v>
      </c>
      <c r="K209">
        <v>0</v>
      </c>
      <c r="L209">
        <v>0</v>
      </c>
      <c r="M209">
        <v>0</v>
      </c>
      <c r="N209">
        <v>3</v>
      </c>
      <c r="O209">
        <v>0</v>
      </c>
      <c r="P209">
        <v>6</v>
      </c>
      <c r="Q209">
        <v>0</v>
      </c>
      <c r="R209">
        <v>2</v>
      </c>
      <c r="S209">
        <v>12</v>
      </c>
      <c r="T209" t="s">
        <v>56</v>
      </c>
      <c r="U209" t="s">
        <v>113</v>
      </c>
      <c r="V209">
        <v>4</v>
      </c>
      <c r="W209">
        <v>5</v>
      </c>
      <c r="X209">
        <v>0</v>
      </c>
      <c r="Y209">
        <v>20</v>
      </c>
      <c r="AA209">
        <v>4</v>
      </c>
      <c r="AB209">
        <v>10</v>
      </c>
    </row>
    <row r="210" spans="1:28" x14ac:dyDescent="0.4">
      <c r="A210">
        <v>209</v>
      </c>
      <c r="B210">
        <v>209</v>
      </c>
      <c r="C210" t="s">
        <v>288</v>
      </c>
      <c r="D210" t="s">
        <v>289</v>
      </c>
      <c r="E210">
        <v>23</v>
      </c>
      <c r="F210">
        <v>41</v>
      </c>
      <c r="G210">
        <v>50</v>
      </c>
      <c r="H210">
        <v>41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56</v>
      </c>
      <c r="U210" t="s">
        <v>64</v>
      </c>
      <c r="V210">
        <v>2</v>
      </c>
      <c r="W210">
        <v>0</v>
      </c>
      <c r="X210">
        <v>0</v>
      </c>
      <c r="Y210">
        <v>11</v>
      </c>
      <c r="AA210">
        <v>0</v>
      </c>
      <c r="AB210">
        <v>0</v>
      </c>
    </row>
    <row r="211" spans="1:28" x14ac:dyDescent="0.4">
      <c r="A211">
        <v>210</v>
      </c>
      <c r="B211">
        <v>210</v>
      </c>
      <c r="C211" t="s">
        <v>290</v>
      </c>
      <c r="D211" t="s">
        <v>291</v>
      </c>
      <c r="E211">
        <v>24</v>
      </c>
      <c r="F211">
        <v>42</v>
      </c>
      <c r="G211">
        <v>51</v>
      </c>
      <c r="H211">
        <v>42</v>
      </c>
      <c r="I211">
        <v>0</v>
      </c>
      <c r="J211">
        <v>1</v>
      </c>
      <c r="K211">
        <v>0</v>
      </c>
      <c r="L211">
        <v>1</v>
      </c>
      <c r="M211">
        <v>0</v>
      </c>
      <c r="N211">
        <v>0</v>
      </c>
      <c r="O211">
        <v>8</v>
      </c>
      <c r="P211">
        <v>4</v>
      </c>
      <c r="Q211">
        <v>0</v>
      </c>
      <c r="R211">
        <v>2</v>
      </c>
      <c r="S211">
        <v>0</v>
      </c>
      <c r="T211" t="s">
        <v>56</v>
      </c>
      <c r="U211" t="s">
        <v>45</v>
      </c>
      <c r="V211">
        <v>0</v>
      </c>
      <c r="W211">
        <v>0</v>
      </c>
      <c r="X211">
        <v>12</v>
      </c>
      <c r="Y211">
        <v>13</v>
      </c>
      <c r="AA211">
        <v>0</v>
      </c>
      <c r="AB211">
        <v>0</v>
      </c>
    </row>
    <row r="212" spans="1:28" x14ac:dyDescent="0.4">
      <c r="A212">
        <v>211</v>
      </c>
      <c r="B212">
        <v>211</v>
      </c>
      <c r="C212" t="s">
        <v>290</v>
      </c>
      <c r="D212" t="s">
        <v>292</v>
      </c>
      <c r="E212">
        <v>24</v>
      </c>
      <c r="F212">
        <v>42</v>
      </c>
      <c r="G212">
        <v>51</v>
      </c>
      <c r="H212">
        <v>42</v>
      </c>
      <c r="I212">
        <v>0</v>
      </c>
      <c r="J212">
        <v>1</v>
      </c>
      <c r="K212">
        <v>0</v>
      </c>
      <c r="L212">
        <v>1</v>
      </c>
      <c r="M212">
        <v>0</v>
      </c>
      <c r="N212">
        <v>0</v>
      </c>
      <c r="O212">
        <v>11</v>
      </c>
      <c r="P212">
        <v>5</v>
      </c>
      <c r="Q212">
        <v>0</v>
      </c>
      <c r="R212">
        <v>3</v>
      </c>
      <c r="S212">
        <v>0</v>
      </c>
      <c r="T212" t="s">
        <v>56</v>
      </c>
      <c r="U212" t="s">
        <v>80</v>
      </c>
      <c r="V212">
        <v>0</v>
      </c>
      <c r="W212">
        <v>0</v>
      </c>
      <c r="X212">
        <v>13</v>
      </c>
      <c r="Y212">
        <v>15</v>
      </c>
      <c r="AA212">
        <v>0</v>
      </c>
      <c r="AB212">
        <v>0</v>
      </c>
    </row>
    <row r="213" spans="1:28" x14ac:dyDescent="0.4">
      <c r="A213">
        <v>212</v>
      </c>
      <c r="B213">
        <v>212</v>
      </c>
      <c r="C213" t="s">
        <v>109</v>
      </c>
      <c r="D213" t="s">
        <v>293</v>
      </c>
      <c r="E213">
        <v>5</v>
      </c>
      <c r="F213">
        <v>7</v>
      </c>
      <c r="G213">
        <v>9</v>
      </c>
      <c r="H213">
        <v>9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10</v>
      </c>
      <c r="Q213">
        <v>0</v>
      </c>
      <c r="R213">
        <v>2</v>
      </c>
      <c r="S213">
        <v>0</v>
      </c>
      <c r="T213" t="s">
        <v>56</v>
      </c>
      <c r="U213" t="s">
        <v>80</v>
      </c>
      <c r="V213">
        <v>2</v>
      </c>
      <c r="W213">
        <v>0</v>
      </c>
      <c r="X213">
        <v>0</v>
      </c>
      <c r="Y213">
        <v>11</v>
      </c>
      <c r="AA213">
        <v>8</v>
      </c>
      <c r="AB213">
        <v>9</v>
      </c>
    </row>
    <row r="214" spans="1:28" x14ac:dyDescent="0.4">
      <c r="A214">
        <v>213</v>
      </c>
      <c r="B214">
        <v>213</v>
      </c>
      <c r="C214" t="s">
        <v>158</v>
      </c>
      <c r="D214" t="s">
        <v>294</v>
      </c>
      <c r="E214">
        <v>2</v>
      </c>
      <c r="F214">
        <v>3</v>
      </c>
      <c r="G214">
        <v>32</v>
      </c>
      <c r="H214">
        <v>5</v>
      </c>
      <c r="I214">
        <v>0</v>
      </c>
      <c r="J214">
        <v>0</v>
      </c>
      <c r="K214">
        <v>15</v>
      </c>
      <c r="L214">
        <v>0</v>
      </c>
      <c r="M214">
        <v>0</v>
      </c>
      <c r="N214">
        <v>0</v>
      </c>
      <c r="O214">
        <v>1</v>
      </c>
      <c r="P214">
        <v>0</v>
      </c>
      <c r="Q214">
        <v>0</v>
      </c>
      <c r="R214">
        <v>3</v>
      </c>
      <c r="S214">
        <v>0</v>
      </c>
      <c r="T214" t="s">
        <v>30</v>
      </c>
      <c r="U214" t="s">
        <v>64</v>
      </c>
      <c r="V214">
        <v>2</v>
      </c>
      <c r="W214">
        <v>3</v>
      </c>
      <c r="X214">
        <v>2</v>
      </c>
      <c r="Y214">
        <v>1</v>
      </c>
      <c r="AA214">
        <v>0</v>
      </c>
      <c r="AB214">
        <v>0</v>
      </c>
    </row>
    <row r="215" spans="1:28" x14ac:dyDescent="0.4">
      <c r="A215">
        <v>214</v>
      </c>
      <c r="B215">
        <v>214</v>
      </c>
      <c r="C215" t="s">
        <v>158</v>
      </c>
      <c r="D215" t="s">
        <v>295</v>
      </c>
      <c r="E215">
        <v>2</v>
      </c>
      <c r="F215">
        <v>3</v>
      </c>
      <c r="G215">
        <v>32</v>
      </c>
      <c r="H215">
        <v>5</v>
      </c>
      <c r="I215">
        <v>0</v>
      </c>
      <c r="J215">
        <v>0</v>
      </c>
      <c r="K215">
        <v>15</v>
      </c>
      <c r="L215">
        <v>0</v>
      </c>
      <c r="M215">
        <v>0</v>
      </c>
      <c r="N215">
        <v>0</v>
      </c>
      <c r="O215">
        <v>4</v>
      </c>
      <c r="P215">
        <v>1</v>
      </c>
      <c r="Q215">
        <v>0</v>
      </c>
      <c r="R215">
        <v>5</v>
      </c>
      <c r="S215">
        <v>0</v>
      </c>
      <c r="T215" t="s">
        <v>30</v>
      </c>
      <c r="U215" t="s">
        <v>80</v>
      </c>
      <c r="V215">
        <v>2</v>
      </c>
      <c r="W215">
        <v>3</v>
      </c>
      <c r="X215">
        <v>2</v>
      </c>
      <c r="Y215">
        <v>2</v>
      </c>
      <c r="AA215">
        <v>0</v>
      </c>
      <c r="AB215">
        <v>0</v>
      </c>
    </row>
    <row r="216" spans="1:28" x14ac:dyDescent="0.4">
      <c r="A216">
        <v>215</v>
      </c>
      <c r="B216">
        <v>215</v>
      </c>
      <c r="C216" t="s">
        <v>237</v>
      </c>
      <c r="D216" t="s">
        <v>296</v>
      </c>
      <c r="E216">
        <v>5</v>
      </c>
      <c r="F216">
        <v>36</v>
      </c>
      <c r="G216">
        <v>45</v>
      </c>
      <c r="H216">
        <v>43</v>
      </c>
      <c r="I216">
        <v>25</v>
      </c>
      <c r="J216">
        <v>0</v>
      </c>
      <c r="K216">
        <v>0</v>
      </c>
      <c r="L216">
        <v>3</v>
      </c>
      <c r="M216">
        <v>0</v>
      </c>
      <c r="N216">
        <v>1</v>
      </c>
      <c r="O216">
        <v>2</v>
      </c>
      <c r="P216">
        <v>3</v>
      </c>
      <c r="Q216">
        <v>0</v>
      </c>
      <c r="R216">
        <v>2</v>
      </c>
      <c r="S216">
        <v>0</v>
      </c>
      <c r="T216" t="s">
        <v>56</v>
      </c>
      <c r="U216" t="s">
        <v>80</v>
      </c>
      <c r="V216">
        <v>1</v>
      </c>
      <c r="W216">
        <v>1</v>
      </c>
      <c r="X216">
        <v>0</v>
      </c>
      <c r="Y216">
        <v>2</v>
      </c>
      <c r="AA216">
        <v>3</v>
      </c>
      <c r="AB216">
        <v>4</v>
      </c>
    </row>
    <row r="217" spans="1:28" x14ac:dyDescent="0.4">
      <c r="A217">
        <v>216</v>
      </c>
      <c r="B217">
        <v>216</v>
      </c>
      <c r="C217" t="s">
        <v>237</v>
      </c>
      <c r="D217" t="s">
        <v>297</v>
      </c>
      <c r="E217">
        <v>5</v>
      </c>
      <c r="F217">
        <v>36</v>
      </c>
      <c r="G217">
        <v>45</v>
      </c>
      <c r="H217">
        <v>43</v>
      </c>
      <c r="I217">
        <v>3</v>
      </c>
      <c r="J217">
        <v>0</v>
      </c>
      <c r="K217">
        <v>0</v>
      </c>
      <c r="L217">
        <v>5</v>
      </c>
      <c r="M217">
        <v>0</v>
      </c>
      <c r="N217">
        <v>1</v>
      </c>
      <c r="O217">
        <v>2</v>
      </c>
      <c r="P217">
        <v>1</v>
      </c>
      <c r="Q217">
        <v>0</v>
      </c>
      <c r="R217">
        <v>1</v>
      </c>
      <c r="S217">
        <v>0</v>
      </c>
      <c r="T217" t="s">
        <v>56</v>
      </c>
      <c r="U217" t="s">
        <v>80</v>
      </c>
      <c r="V217">
        <v>1</v>
      </c>
      <c r="W217">
        <v>1</v>
      </c>
      <c r="X217">
        <v>0</v>
      </c>
      <c r="Y217">
        <v>4</v>
      </c>
      <c r="AA217">
        <v>4</v>
      </c>
      <c r="AB217">
        <v>5</v>
      </c>
    </row>
    <row r="218" spans="1:28" x14ac:dyDescent="0.4">
      <c r="A218">
        <v>217</v>
      </c>
      <c r="B218">
        <v>217</v>
      </c>
      <c r="C218" t="s">
        <v>237</v>
      </c>
      <c r="D218" t="s">
        <v>298</v>
      </c>
      <c r="E218">
        <v>5</v>
      </c>
      <c r="F218">
        <v>36</v>
      </c>
      <c r="G218">
        <v>45</v>
      </c>
      <c r="H218">
        <v>43</v>
      </c>
      <c r="I218">
        <v>26</v>
      </c>
      <c r="J218">
        <v>0</v>
      </c>
      <c r="K218">
        <v>0</v>
      </c>
      <c r="L218">
        <v>5</v>
      </c>
      <c r="M218">
        <v>0</v>
      </c>
      <c r="N218">
        <v>0</v>
      </c>
      <c r="O218">
        <v>3</v>
      </c>
      <c r="P218">
        <v>1</v>
      </c>
      <c r="Q218">
        <v>0</v>
      </c>
      <c r="R218">
        <v>0</v>
      </c>
      <c r="S218">
        <v>0</v>
      </c>
      <c r="T218" t="s">
        <v>56</v>
      </c>
      <c r="U218" t="s">
        <v>64</v>
      </c>
      <c r="V218">
        <v>1</v>
      </c>
      <c r="W218">
        <v>1</v>
      </c>
      <c r="X218">
        <v>0</v>
      </c>
      <c r="Y218">
        <v>6</v>
      </c>
      <c r="AA218">
        <v>3</v>
      </c>
      <c r="AB218">
        <v>6</v>
      </c>
    </row>
    <row r="219" spans="1:28" x14ac:dyDescent="0.4">
      <c r="A219">
        <v>218</v>
      </c>
      <c r="B219">
        <v>218</v>
      </c>
      <c r="C219" t="s">
        <v>251</v>
      </c>
      <c r="D219" t="s">
        <v>299</v>
      </c>
      <c r="E219">
        <v>22</v>
      </c>
      <c r="F219">
        <v>39</v>
      </c>
      <c r="G219">
        <v>48</v>
      </c>
      <c r="H219">
        <v>44</v>
      </c>
      <c r="I219">
        <v>27</v>
      </c>
      <c r="J219">
        <v>0</v>
      </c>
      <c r="K219">
        <v>0</v>
      </c>
      <c r="L219">
        <v>10</v>
      </c>
      <c r="M219">
        <v>0</v>
      </c>
      <c r="N219">
        <v>0</v>
      </c>
      <c r="O219">
        <v>1</v>
      </c>
      <c r="P219">
        <v>0</v>
      </c>
      <c r="Q219">
        <v>0</v>
      </c>
      <c r="R219">
        <v>1</v>
      </c>
      <c r="S219">
        <v>0</v>
      </c>
      <c r="T219" t="s">
        <v>56</v>
      </c>
      <c r="U219" t="s">
        <v>64</v>
      </c>
      <c r="V219">
        <v>3</v>
      </c>
      <c r="W219">
        <v>2</v>
      </c>
      <c r="X219">
        <v>0</v>
      </c>
      <c r="Y219">
        <v>9</v>
      </c>
      <c r="AA219">
        <v>5</v>
      </c>
      <c r="AB219">
        <v>7</v>
      </c>
    </row>
    <row r="220" spans="1:28" x14ac:dyDescent="0.4">
      <c r="A220">
        <v>219</v>
      </c>
      <c r="B220">
        <v>219</v>
      </c>
      <c r="C220" t="s">
        <v>65</v>
      </c>
      <c r="D220" t="s">
        <v>300</v>
      </c>
      <c r="E220">
        <v>3</v>
      </c>
      <c r="F220">
        <v>5</v>
      </c>
      <c r="G220">
        <v>7</v>
      </c>
      <c r="H220">
        <v>7</v>
      </c>
      <c r="I220">
        <v>12</v>
      </c>
      <c r="J220">
        <v>0</v>
      </c>
      <c r="K220">
        <v>0</v>
      </c>
      <c r="L220">
        <v>5</v>
      </c>
      <c r="M220">
        <v>0</v>
      </c>
      <c r="N220">
        <v>2</v>
      </c>
      <c r="O220">
        <v>0</v>
      </c>
      <c r="P220">
        <v>0</v>
      </c>
      <c r="Q220">
        <v>0</v>
      </c>
      <c r="R220">
        <v>0</v>
      </c>
      <c r="S220">
        <v>5</v>
      </c>
      <c r="T220" t="s">
        <v>56</v>
      </c>
      <c r="U220" t="s">
        <v>64</v>
      </c>
      <c r="V220">
        <v>1</v>
      </c>
      <c r="W220">
        <v>4</v>
      </c>
      <c r="X220">
        <v>0</v>
      </c>
      <c r="Y220">
        <v>4</v>
      </c>
      <c r="AA220">
        <v>4</v>
      </c>
      <c r="AB220">
        <v>6</v>
      </c>
    </row>
    <row r="221" spans="1:28" x14ac:dyDescent="0.4">
      <c r="A221">
        <v>220</v>
      </c>
      <c r="B221">
        <v>220</v>
      </c>
      <c r="C221" t="s">
        <v>46</v>
      </c>
      <c r="D221" t="s">
        <v>301</v>
      </c>
      <c r="E221">
        <v>1</v>
      </c>
      <c r="F221">
        <v>2</v>
      </c>
      <c r="G221">
        <v>4</v>
      </c>
      <c r="H221">
        <v>16</v>
      </c>
      <c r="I221">
        <v>0</v>
      </c>
      <c r="J221">
        <v>1</v>
      </c>
      <c r="K221">
        <v>0</v>
      </c>
      <c r="L221">
        <v>7</v>
      </c>
      <c r="M221">
        <v>0</v>
      </c>
      <c r="N221">
        <v>0</v>
      </c>
      <c r="O221">
        <v>1</v>
      </c>
      <c r="P221">
        <v>0</v>
      </c>
      <c r="Q221">
        <v>0</v>
      </c>
      <c r="R221">
        <v>2</v>
      </c>
      <c r="S221">
        <v>0</v>
      </c>
      <c r="T221" t="s">
        <v>30</v>
      </c>
      <c r="U221" t="s">
        <v>80</v>
      </c>
      <c r="V221">
        <v>0</v>
      </c>
      <c r="W221">
        <v>2</v>
      </c>
      <c r="X221">
        <v>3</v>
      </c>
      <c r="Y221">
        <v>2</v>
      </c>
      <c r="AA221">
        <v>0</v>
      </c>
      <c r="AB221">
        <v>0</v>
      </c>
    </row>
    <row r="222" spans="1:28" x14ac:dyDescent="0.4">
      <c r="A222">
        <v>221</v>
      </c>
      <c r="B222">
        <v>221</v>
      </c>
      <c r="C222" t="s">
        <v>251</v>
      </c>
      <c r="D222" t="s">
        <v>302</v>
      </c>
      <c r="E222">
        <v>22</v>
      </c>
      <c r="F222">
        <v>39</v>
      </c>
      <c r="G222">
        <v>48</v>
      </c>
      <c r="H222">
        <v>44</v>
      </c>
      <c r="I222">
        <v>18</v>
      </c>
      <c r="J222">
        <v>0</v>
      </c>
      <c r="K222">
        <v>0</v>
      </c>
      <c r="L222">
        <v>6</v>
      </c>
      <c r="M222">
        <v>0</v>
      </c>
      <c r="N222">
        <v>0</v>
      </c>
      <c r="O222">
        <v>2</v>
      </c>
      <c r="P222">
        <v>0</v>
      </c>
      <c r="Q222">
        <v>0</v>
      </c>
      <c r="R222">
        <v>0</v>
      </c>
      <c r="S222">
        <v>0</v>
      </c>
      <c r="T222" t="s">
        <v>56</v>
      </c>
      <c r="U222" t="s">
        <v>45</v>
      </c>
      <c r="V222">
        <v>1</v>
      </c>
      <c r="W222">
        <v>1</v>
      </c>
      <c r="X222">
        <v>0</v>
      </c>
      <c r="Y222">
        <v>3</v>
      </c>
      <c r="AA222">
        <v>6</v>
      </c>
      <c r="AB222">
        <v>4</v>
      </c>
    </row>
    <row r="223" spans="1:28" x14ac:dyDescent="0.4">
      <c r="A223">
        <v>222</v>
      </c>
      <c r="B223">
        <v>222</v>
      </c>
      <c r="C223" t="s">
        <v>251</v>
      </c>
      <c r="D223" t="s">
        <v>303</v>
      </c>
      <c r="E223">
        <v>22</v>
      </c>
      <c r="F223">
        <v>39</v>
      </c>
      <c r="G223">
        <v>48</v>
      </c>
      <c r="H223">
        <v>44</v>
      </c>
      <c r="I223">
        <v>27</v>
      </c>
      <c r="J223">
        <v>1</v>
      </c>
      <c r="K223">
        <v>0</v>
      </c>
      <c r="L223">
        <v>7</v>
      </c>
      <c r="M223">
        <v>0</v>
      </c>
      <c r="N223">
        <v>0</v>
      </c>
      <c r="O223">
        <v>3</v>
      </c>
      <c r="P223">
        <v>0</v>
      </c>
      <c r="Q223">
        <v>0</v>
      </c>
      <c r="R223">
        <v>1</v>
      </c>
      <c r="S223">
        <v>0</v>
      </c>
      <c r="T223" t="s">
        <v>56</v>
      </c>
      <c r="U223" t="s">
        <v>64</v>
      </c>
      <c r="V223">
        <v>1</v>
      </c>
      <c r="W223">
        <v>1</v>
      </c>
      <c r="X223">
        <v>0</v>
      </c>
      <c r="Y223">
        <v>4</v>
      </c>
      <c r="AA223">
        <v>6</v>
      </c>
      <c r="AB223">
        <v>4</v>
      </c>
    </row>
    <row r="224" spans="1:28" x14ac:dyDescent="0.4">
      <c r="A224">
        <v>223</v>
      </c>
      <c r="B224">
        <v>223</v>
      </c>
      <c r="C224" t="s">
        <v>251</v>
      </c>
      <c r="D224" t="s">
        <v>304</v>
      </c>
      <c r="E224">
        <v>22</v>
      </c>
      <c r="F224">
        <v>39</v>
      </c>
      <c r="G224">
        <v>48</v>
      </c>
      <c r="H224">
        <v>44</v>
      </c>
      <c r="I224">
        <v>27</v>
      </c>
      <c r="J224">
        <v>2</v>
      </c>
      <c r="K224">
        <v>0</v>
      </c>
      <c r="L224">
        <v>8</v>
      </c>
      <c r="M224">
        <v>0</v>
      </c>
      <c r="N224">
        <v>0</v>
      </c>
      <c r="O224">
        <v>3</v>
      </c>
      <c r="P224">
        <v>1</v>
      </c>
      <c r="Q224">
        <v>0</v>
      </c>
      <c r="R224">
        <v>1</v>
      </c>
      <c r="S224">
        <v>0</v>
      </c>
      <c r="T224" t="s">
        <v>56</v>
      </c>
      <c r="U224" t="s">
        <v>80</v>
      </c>
      <c r="V224">
        <v>1</v>
      </c>
      <c r="W224">
        <v>1</v>
      </c>
      <c r="X224">
        <v>0</v>
      </c>
      <c r="Y224">
        <v>4</v>
      </c>
      <c r="AA224">
        <v>7</v>
      </c>
      <c r="AB224">
        <v>4</v>
      </c>
    </row>
    <row r="225" spans="1:28" x14ac:dyDescent="0.4">
      <c r="A225">
        <v>224</v>
      </c>
      <c r="B225">
        <v>224</v>
      </c>
      <c r="C225" t="s">
        <v>243</v>
      </c>
      <c r="D225" t="s">
        <v>305</v>
      </c>
      <c r="E225">
        <v>22</v>
      </c>
      <c r="F225">
        <v>39</v>
      </c>
      <c r="G225">
        <v>47</v>
      </c>
      <c r="H225">
        <v>44</v>
      </c>
      <c r="I225">
        <v>27</v>
      </c>
      <c r="J225">
        <v>3</v>
      </c>
      <c r="K225">
        <v>0</v>
      </c>
      <c r="L225">
        <v>6</v>
      </c>
      <c r="M225">
        <v>0</v>
      </c>
      <c r="N225">
        <v>0</v>
      </c>
      <c r="O225">
        <v>2</v>
      </c>
      <c r="P225">
        <v>1</v>
      </c>
      <c r="Q225">
        <v>0</v>
      </c>
      <c r="R225">
        <v>3</v>
      </c>
      <c r="S225">
        <v>8</v>
      </c>
      <c r="T225" t="s">
        <v>56</v>
      </c>
      <c r="U225" t="s">
        <v>80</v>
      </c>
      <c r="V225">
        <v>1</v>
      </c>
      <c r="W225">
        <v>3</v>
      </c>
      <c r="X225">
        <v>0</v>
      </c>
      <c r="Y225">
        <v>5</v>
      </c>
      <c r="AA225">
        <v>5</v>
      </c>
      <c r="AB225">
        <v>4</v>
      </c>
    </row>
    <row r="226" spans="1:28" x14ac:dyDescent="0.4">
      <c r="A226">
        <v>225</v>
      </c>
      <c r="B226">
        <v>225</v>
      </c>
      <c r="C226" t="s">
        <v>251</v>
      </c>
      <c r="D226" t="s">
        <v>306</v>
      </c>
      <c r="E226">
        <v>22</v>
      </c>
      <c r="F226">
        <v>39</v>
      </c>
      <c r="G226">
        <v>48</v>
      </c>
      <c r="H226">
        <v>44</v>
      </c>
      <c r="I226">
        <v>27</v>
      </c>
      <c r="J226">
        <v>1</v>
      </c>
      <c r="K226">
        <v>0</v>
      </c>
      <c r="L226">
        <v>11</v>
      </c>
      <c r="M226">
        <v>0</v>
      </c>
      <c r="N226">
        <v>0</v>
      </c>
      <c r="O226">
        <v>5</v>
      </c>
      <c r="P226">
        <v>1</v>
      </c>
      <c r="Q226">
        <v>0</v>
      </c>
      <c r="R226">
        <v>1</v>
      </c>
      <c r="S226">
        <v>0</v>
      </c>
      <c r="T226" t="s">
        <v>56</v>
      </c>
      <c r="U226" t="s">
        <v>113</v>
      </c>
      <c r="V226">
        <v>1</v>
      </c>
      <c r="W226">
        <v>2</v>
      </c>
      <c r="X226">
        <v>0</v>
      </c>
      <c r="Y226">
        <v>3</v>
      </c>
      <c r="AA226">
        <v>7</v>
      </c>
      <c r="AB226">
        <v>4</v>
      </c>
    </row>
    <row r="227" spans="1:28" x14ac:dyDescent="0.4">
      <c r="A227">
        <v>226</v>
      </c>
      <c r="B227">
        <v>226</v>
      </c>
      <c r="C227" t="s">
        <v>97</v>
      </c>
      <c r="D227" t="s">
        <v>307</v>
      </c>
      <c r="E227">
        <v>7</v>
      </c>
      <c r="F227">
        <v>32</v>
      </c>
      <c r="G227">
        <v>15</v>
      </c>
      <c r="H227">
        <v>17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4</v>
      </c>
      <c r="O227">
        <v>0</v>
      </c>
      <c r="P227">
        <v>0</v>
      </c>
      <c r="Q227">
        <v>0</v>
      </c>
      <c r="R227">
        <v>0</v>
      </c>
      <c r="S227">
        <v>0</v>
      </c>
      <c r="T227" t="s">
        <v>56</v>
      </c>
      <c r="U227" t="s">
        <v>20</v>
      </c>
      <c r="V227">
        <v>1</v>
      </c>
      <c r="W227">
        <v>2</v>
      </c>
      <c r="X227">
        <v>0</v>
      </c>
      <c r="Y227">
        <v>1</v>
      </c>
      <c r="AA227">
        <v>0</v>
      </c>
      <c r="AB227">
        <v>0</v>
      </c>
    </row>
    <row r="228" spans="1:28" x14ac:dyDescent="0.4">
      <c r="A228">
        <v>227</v>
      </c>
      <c r="B228">
        <v>227</v>
      </c>
      <c r="C228" t="s">
        <v>97</v>
      </c>
      <c r="D228" t="s">
        <v>308</v>
      </c>
      <c r="E228">
        <v>7</v>
      </c>
      <c r="F228">
        <v>32</v>
      </c>
      <c r="G228">
        <v>15</v>
      </c>
      <c r="H228">
        <v>17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7</v>
      </c>
      <c r="O228">
        <v>0</v>
      </c>
      <c r="P228">
        <v>0</v>
      </c>
      <c r="Q228">
        <v>0</v>
      </c>
      <c r="R228">
        <v>0</v>
      </c>
      <c r="S228">
        <v>0</v>
      </c>
      <c r="T228" t="s">
        <v>56</v>
      </c>
      <c r="U228" t="s">
        <v>45</v>
      </c>
      <c r="V228">
        <v>1</v>
      </c>
      <c r="W228">
        <v>3</v>
      </c>
      <c r="X228">
        <v>0</v>
      </c>
      <c r="Y228">
        <v>1</v>
      </c>
      <c r="AA228">
        <v>0</v>
      </c>
      <c r="AB228">
        <v>0</v>
      </c>
    </row>
    <row r="229" spans="1:28" x14ac:dyDescent="0.4">
      <c r="A229">
        <v>228</v>
      </c>
      <c r="B229">
        <v>228</v>
      </c>
      <c r="C229" t="s">
        <v>59</v>
      </c>
      <c r="D229" t="s">
        <v>309</v>
      </c>
      <c r="E229">
        <v>3</v>
      </c>
      <c r="F229">
        <v>5</v>
      </c>
      <c r="G229">
        <v>6</v>
      </c>
      <c r="H229">
        <v>6</v>
      </c>
      <c r="I229">
        <v>1</v>
      </c>
      <c r="J229">
        <v>0</v>
      </c>
      <c r="K229">
        <v>0</v>
      </c>
      <c r="L229">
        <v>4</v>
      </c>
      <c r="M229">
        <v>0</v>
      </c>
      <c r="N229">
        <v>0</v>
      </c>
      <c r="O229">
        <v>2</v>
      </c>
      <c r="P229">
        <v>0</v>
      </c>
      <c r="Q229">
        <v>0</v>
      </c>
      <c r="R229">
        <v>0</v>
      </c>
      <c r="S229">
        <v>0</v>
      </c>
      <c r="T229" t="s">
        <v>56</v>
      </c>
      <c r="U229" t="s">
        <v>45</v>
      </c>
      <c r="V229">
        <v>1</v>
      </c>
      <c r="W229">
        <v>1</v>
      </c>
      <c r="X229">
        <v>0</v>
      </c>
      <c r="Y229">
        <v>2</v>
      </c>
      <c r="AA229">
        <v>4</v>
      </c>
      <c r="AB229">
        <v>3</v>
      </c>
    </row>
    <row r="230" spans="1:28" x14ac:dyDescent="0.4">
      <c r="A230">
        <v>229</v>
      </c>
      <c r="B230">
        <v>229</v>
      </c>
      <c r="C230" t="s">
        <v>28</v>
      </c>
      <c r="D230" t="s">
        <v>310</v>
      </c>
      <c r="E230">
        <v>1</v>
      </c>
      <c r="F230">
        <v>1</v>
      </c>
      <c r="G230">
        <v>1</v>
      </c>
      <c r="H230">
        <v>16</v>
      </c>
      <c r="I230">
        <v>0</v>
      </c>
      <c r="J230">
        <v>1</v>
      </c>
      <c r="K230">
        <v>0</v>
      </c>
      <c r="L230">
        <v>4</v>
      </c>
      <c r="M230">
        <v>0</v>
      </c>
      <c r="N230">
        <v>1</v>
      </c>
      <c r="O230">
        <v>1</v>
      </c>
      <c r="P230">
        <v>0</v>
      </c>
      <c r="Q230">
        <v>0</v>
      </c>
      <c r="R230">
        <v>1</v>
      </c>
      <c r="S230">
        <v>0</v>
      </c>
      <c r="T230" t="s">
        <v>30</v>
      </c>
      <c r="U230" t="s">
        <v>45</v>
      </c>
      <c r="V230">
        <v>0</v>
      </c>
      <c r="W230">
        <v>1</v>
      </c>
      <c r="X230">
        <v>2</v>
      </c>
      <c r="Y230">
        <v>0</v>
      </c>
      <c r="AA230">
        <v>0</v>
      </c>
      <c r="AB230">
        <v>0</v>
      </c>
    </row>
    <row r="231" spans="1:28" x14ac:dyDescent="0.4">
      <c r="A231">
        <v>230</v>
      </c>
      <c r="B231">
        <v>230</v>
      </c>
      <c r="C231" t="s">
        <v>125</v>
      </c>
      <c r="D231" t="s">
        <v>311</v>
      </c>
      <c r="E231">
        <v>8</v>
      </c>
      <c r="F231">
        <v>14</v>
      </c>
      <c r="G231">
        <v>24</v>
      </c>
      <c r="H231">
        <v>20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t="s">
        <v>56</v>
      </c>
      <c r="U231" t="s">
        <v>80</v>
      </c>
      <c r="V231">
        <v>2</v>
      </c>
      <c r="W231">
        <v>4</v>
      </c>
      <c r="X231">
        <v>5</v>
      </c>
      <c r="Y231">
        <v>1</v>
      </c>
      <c r="AA231">
        <v>0</v>
      </c>
      <c r="AB231">
        <v>0</v>
      </c>
    </row>
    <row r="232" spans="1:28" x14ac:dyDescent="0.4">
      <c r="A232">
        <v>231</v>
      </c>
      <c r="B232">
        <v>231</v>
      </c>
      <c r="C232" t="s">
        <v>39</v>
      </c>
      <c r="D232" t="s">
        <v>312</v>
      </c>
      <c r="E232">
        <v>1</v>
      </c>
      <c r="F232">
        <v>1</v>
      </c>
      <c r="G232">
        <v>3</v>
      </c>
      <c r="H232">
        <v>3</v>
      </c>
      <c r="I232">
        <v>0</v>
      </c>
      <c r="J232">
        <v>16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0</v>
      </c>
      <c r="T232" t="s">
        <v>41</v>
      </c>
      <c r="U232" t="s">
        <v>45</v>
      </c>
      <c r="V232">
        <v>0</v>
      </c>
      <c r="W232">
        <v>8</v>
      </c>
      <c r="X232">
        <v>12</v>
      </c>
      <c r="Y232">
        <v>0</v>
      </c>
      <c r="AA232">
        <v>0</v>
      </c>
      <c r="AB232">
        <v>0</v>
      </c>
    </row>
    <row r="233" spans="1:28" x14ac:dyDescent="0.4">
      <c r="A233">
        <v>232</v>
      </c>
      <c r="B233">
        <v>232</v>
      </c>
      <c r="C233" t="s">
        <v>39</v>
      </c>
      <c r="D233" t="s">
        <v>313</v>
      </c>
      <c r="E233">
        <v>1</v>
      </c>
      <c r="F233">
        <v>1</v>
      </c>
      <c r="G233">
        <v>3</v>
      </c>
      <c r="H233">
        <v>3</v>
      </c>
      <c r="I233">
        <v>0</v>
      </c>
      <c r="J233">
        <v>17</v>
      </c>
      <c r="K233">
        <v>0</v>
      </c>
      <c r="L233">
        <v>3</v>
      </c>
      <c r="M233">
        <v>1</v>
      </c>
      <c r="N233">
        <v>0</v>
      </c>
      <c r="O233">
        <v>1</v>
      </c>
      <c r="P233">
        <v>0</v>
      </c>
      <c r="Q233">
        <v>0</v>
      </c>
      <c r="R233">
        <v>3</v>
      </c>
      <c r="S233">
        <v>0</v>
      </c>
      <c r="T233" t="s">
        <v>41</v>
      </c>
      <c r="U233" t="s">
        <v>64</v>
      </c>
      <c r="V233">
        <v>0</v>
      </c>
      <c r="W233">
        <v>9</v>
      </c>
      <c r="X233">
        <v>13</v>
      </c>
      <c r="Y233">
        <v>3</v>
      </c>
      <c r="AA233">
        <v>0</v>
      </c>
      <c r="AB233">
        <v>0</v>
      </c>
    </row>
    <row r="234" spans="1:28" x14ac:dyDescent="0.4">
      <c r="A234">
        <v>233</v>
      </c>
      <c r="B234">
        <v>233</v>
      </c>
      <c r="C234" t="s">
        <v>65</v>
      </c>
      <c r="D234" t="s">
        <v>314</v>
      </c>
      <c r="E234">
        <v>3</v>
      </c>
      <c r="F234">
        <v>5</v>
      </c>
      <c r="G234">
        <v>7</v>
      </c>
      <c r="H234">
        <v>7</v>
      </c>
      <c r="I234">
        <v>21</v>
      </c>
      <c r="J234">
        <v>1</v>
      </c>
      <c r="K234">
        <v>0</v>
      </c>
      <c r="L234">
        <v>7</v>
      </c>
      <c r="M234">
        <v>0</v>
      </c>
      <c r="N234">
        <v>1</v>
      </c>
      <c r="O234">
        <v>1</v>
      </c>
      <c r="P234">
        <v>1</v>
      </c>
      <c r="Q234">
        <v>0</v>
      </c>
      <c r="R234">
        <v>0</v>
      </c>
      <c r="S234">
        <v>7</v>
      </c>
      <c r="T234" t="s">
        <v>56</v>
      </c>
      <c r="U234" t="s">
        <v>113</v>
      </c>
      <c r="V234">
        <v>2</v>
      </c>
      <c r="W234">
        <v>6</v>
      </c>
      <c r="X234">
        <v>0</v>
      </c>
      <c r="Y234">
        <v>7</v>
      </c>
      <c r="AA234">
        <v>6</v>
      </c>
      <c r="AB234">
        <v>9</v>
      </c>
    </row>
    <row r="235" spans="1:28" x14ac:dyDescent="0.4">
      <c r="A235">
        <v>234</v>
      </c>
      <c r="B235">
        <v>234</v>
      </c>
      <c r="C235" t="s">
        <v>46</v>
      </c>
      <c r="D235" t="s">
        <v>315</v>
      </c>
      <c r="E235">
        <v>1</v>
      </c>
      <c r="F235">
        <v>2</v>
      </c>
      <c r="G235">
        <v>4</v>
      </c>
      <c r="H235">
        <v>4</v>
      </c>
      <c r="I235">
        <v>0</v>
      </c>
      <c r="J235">
        <v>7</v>
      </c>
      <c r="K235">
        <v>0</v>
      </c>
      <c r="L235">
        <v>5</v>
      </c>
      <c r="M235">
        <v>0</v>
      </c>
      <c r="N235">
        <v>0</v>
      </c>
      <c r="O235">
        <v>1</v>
      </c>
      <c r="P235">
        <v>0</v>
      </c>
      <c r="Q235">
        <v>0</v>
      </c>
      <c r="R235">
        <v>4</v>
      </c>
      <c r="S235">
        <v>0</v>
      </c>
      <c r="T235" t="s">
        <v>36</v>
      </c>
      <c r="U235" t="s">
        <v>64</v>
      </c>
      <c r="V235">
        <v>0</v>
      </c>
      <c r="W235">
        <v>3</v>
      </c>
      <c r="X235">
        <v>6</v>
      </c>
      <c r="Y235">
        <v>1</v>
      </c>
      <c r="AA235">
        <v>0</v>
      </c>
      <c r="AB235">
        <v>0</v>
      </c>
    </row>
    <row r="236" spans="1:28" x14ac:dyDescent="0.4">
      <c r="A236">
        <v>235</v>
      </c>
      <c r="B236">
        <v>235</v>
      </c>
      <c r="C236" t="s">
        <v>34</v>
      </c>
      <c r="D236" t="s">
        <v>316</v>
      </c>
      <c r="E236">
        <v>1</v>
      </c>
      <c r="F236">
        <v>1</v>
      </c>
      <c r="G236">
        <v>2</v>
      </c>
      <c r="H236">
        <v>2</v>
      </c>
      <c r="I236">
        <v>0</v>
      </c>
      <c r="J236">
        <v>7</v>
      </c>
      <c r="K236">
        <v>0</v>
      </c>
      <c r="L236">
        <v>5</v>
      </c>
      <c r="M236">
        <v>1</v>
      </c>
      <c r="N236">
        <v>0</v>
      </c>
      <c r="O236">
        <v>1</v>
      </c>
      <c r="P236">
        <v>0</v>
      </c>
      <c r="Q236">
        <v>0</v>
      </c>
      <c r="R236">
        <v>3</v>
      </c>
      <c r="S236">
        <v>0</v>
      </c>
      <c r="T236" t="s">
        <v>36</v>
      </c>
      <c r="U236" t="s">
        <v>64</v>
      </c>
      <c r="V236">
        <v>0</v>
      </c>
      <c r="W236">
        <v>3</v>
      </c>
      <c r="X236">
        <v>6</v>
      </c>
      <c r="Y236">
        <v>1</v>
      </c>
      <c r="AA236">
        <v>0</v>
      </c>
      <c r="AB236">
        <v>0</v>
      </c>
    </row>
    <row r="237" spans="1:28" x14ac:dyDescent="0.4">
      <c r="A237">
        <v>236</v>
      </c>
      <c r="B237">
        <v>236</v>
      </c>
      <c r="C237" t="s">
        <v>39</v>
      </c>
      <c r="D237" t="s">
        <v>317</v>
      </c>
      <c r="E237">
        <v>1</v>
      </c>
      <c r="F237">
        <v>1</v>
      </c>
      <c r="G237">
        <v>3</v>
      </c>
      <c r="H237">
        <v>3</v>
      </c>
      <c r="I237">
        <v>0</v>
      </c>
      <c r="J237">
        <v>22</v>
      </c>
      <c r="K237">
        <v>0</v>
      </c>
      <c r="L237">
        <v>6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4</v>
      </c>
      <c r="S237">
        <v>0</v>
      </c>
      <c r="T237" t="s">
        <v>41</v>
      </c>
      <c r="U237" t="s">
        <v>113</v>
      </c>
      <c r="V237">
        <v>0</v>
      </c>
      <c r="W237">
        <v>18</v>
      </c>
      <c r="X237">
        <v>23</v>
      </c>
      <c r="Y237">
        <v>4</v>
      </c>
      <c r="AA237">
        <v>0</v>
      </c>
      <c r="AB237">
        <v>0</v>
      </c>
    </row>
    <row r="238" spans="1:28" x14ac:dyDescent="0.4">
      <c r="A238">
        <v>237</v>
      </c>
      <c r="B238">
        <v>237</v>
      </c>
      <c r="C238" t="s">
        <v>70</v>
      </c>
      <c r="D238" t="s">
        <v>318</v>
      </c>
      <c r="E238">
        <v>5</v>
      </c>
      <c r="F238">
        <v>43</v>
      </c>
      <c r="G238">
        <v>11</v>
      </c>
      <c r="H238">
        <v>10</v>
      </c>
      <c r="I238">
        <v>32</v>
      </c>
      <c r="J238">
        <v>0</v>
      </c>
      <c r="K238">
        <v>0</v>
      </c>
      <c r="L238">
        <v>4</v>
      </c>
      <c r="M238">
        <v>0</v>
      </c>
      <c r="N238">
        <v>6</v>
      </c>
      <c r="O238">
        <v>1</v>
      </c>
      <c r="P238">
        <v>7</v>
      </c>
      <c r="Q238">
        <v>0</v>
      </c>
      <c r="R238">
        <v>1</v>
      </c>
      <c r="S238">
        <v>9</v>
      </c>
      <c r="T238" t="s">
        <v>56</v>
      </c>
      <c r="U238" t="s">
        <v>113</v>
      </c>
      <c r="V238">
        <v>2</v>
      </c>
      <c r="W238">
        <v>3</v>
      </c>
      <c r="X238">
        <v>0</v>
      </c>
      <c r="Y238">
        <v>5</v>
      </c>
      <c r="AA238">
        <v>5</v>
      </c>
      <c r="AB238">
        <v>7</v>
      </c>
    </row>
    <row r="239" spans="1:28" x14ac:dyDescent="0.4">
      <c r="A239">
        <v>238</v>
      </c>
      <c r="B239">
        <v>238</v>
      </c>
      <c r="C239" t="s">
        <v>68</v>
      </c>
      <c r="D239" t="s">
        <v>319</v>
      </c>
      <c r="E239">
        <v>5</v>
      </c>
      <c r="F239">
        <v>7</v>
      </c>
      <c r="G239">
        <v>10</v>
      </c>
      <c r="H239">
        <v>10</v>
      </c>
      <c r="I239">
        <v>2</v>
      </c>
      <c r="J239">
        <v>1</v>
      </c>
      <c r="K239">
        <v>0</v>
      </c>
      <c r="L239">
        <v>1</v>
      </c>
      <c r="M239">
        <v>0</v>
      </c>
      <c r="N239">
        <v>7</v>
      </c>
      <c r="O239">
        <v>0</v>
      </c>
      <c r="P239">
        <v>6</v>
      </c>
      <c r="Q239">
        <v>0</v>
      </c>
      <c r="R239">
        <v>2</v>
      </c>
      <c r="S239">
        <v>0</v>
      </c>
      <c r="T239" t="s">
        <v>56</v>
      </c>
      <c r="U239" t="s">
        <v>64</v>
      </c>
      <c r="V239">
        <v>1</v>
      </c>
      <c r="W239">
        <v>2</v>
      </c>
      <c r="X239">
        <v>0</v>
      </c>
      <c r="Y239">
        <v>3</v>
      </c>
      <c r="AA239">
        <v>7</v>
      </c>
      <c r="AB239">
        <v>5</v>
      </c>
    </row>
    <row r="240" spans="1:28" x14ac:dyDescent="0.4">
      <c r="A240">
        <v>239</v>
      </c>
      <c r="B240">
        <v>239</v>
      </c>
      <c r="C240" t="s">
        <v>68</v>
      </c>
      <c r="D240" t="s">
        <v>320</v>
      </c>
      <c r="E240">
        <v>5</v>
      </c>
      <c r="F240">
        <v>7</v>
      </c>
      <c r="G240">
        <v>10</v>
      </c>
      <c r="H240">
        <v>10</v>
      </c>
      <c r="I240">
        <v>2</v>
      </c>
      <c r="J240">
        <v>2</v>
      </c>
      <c r="K240">
        <v>0</v>
      </c>
      <c r="L240">
        <v>1</v>
      </c>
      <c r="M240">
        <v>0</v>
      </c>
      <c r="N240">
        <v>8</v>
      </c>
      <c r="O240">
        <v>0</v>
      </c>
      <c r="P240">
        <v>8</v>
      </c>
      <c r="Q240">
        <v>0</v>
      </c>
      <c r="R240">
        <v>3</v>
      </c>
      <c r="S240">
        <v>0</v>
      </c>
      <c r="T240" t="s">
        <v>56</v>
      </c>
      <c r="U240" t="s">
        <v>80</v>
      </c>
      <c r="V240">
        <v>1</v>
      </c>
      <c r="W240">
        <v>2</v>
      </c>
      <c r="X240">
        <v>0</v>
      </c>
      <c r="Y240">
        <v>3</v>
      </c>
      <c r="AA240">
        <v>7</v>
      </c>
      <c r="AB240">
        <v>5</v>
      </c>
    </row>
    <row r="241" spans="1:28" x14ac:dyDescent="0.4">
      <c r="A241">
        <v>240</v>
      </c>
      <c r="B241">
        <v>240</v>
      </c>
      <c r="C241" t="s">
        <v>72</v>
      </c>
      <c r="D241" t="s">
        <v>321</v>
      </c>
      <c r="E241">
        <v>5</v>
      </c>
      <c r="F241">
        <v>8</v>
      </c>
      <c r="G241">
        <v>12</v>
      </c>
      <c r="H241">
        <v>11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2</v>
      </c>
      <c r="O241">
        <v>0</v>
      </c>
      <c r="P241">
        <v>7</v>
      </c>
      <c r="Q241">
        <v>0</v>
      </c>
      <c r="R241">
        <v>9</v>
      </c>
      <c r="S241">
        <v>0</v>
      </c>
      <c r="T241" t="s">
        <v>56</v>
      </c>
      <c r="U241" t="s">
        <v>80</v>
      </c>
      <c r="V241">
        <v>0</v>
      </c>
      <c r="W241">
        <v>0</v>
      </c>
      <c r="X241">
        <v>16</v>
      </c>
      <c r="Y241">
        <v>17</v>
      </c>
      <c r="AA241">
        <v>0</v>
      </c>
      <c r="AB241">
        <v>0</v>
      </c>
    </row>
    <row r="242" spans="1:28" x14ac:dyDescent="0.4">
      <c r="A242">
        <v>241</v>
      </c>
      <c r="B242">
        <v>241</v>
      </c>
      <c r="C242" t="s">
        <v>217</v>
      </c>
      <c r="D242" t="s">
        <v>322</v>
      </c>
      <c r="E242">
        <v>18</v>
      </c>
      <c r="F242">
        <v>34</v>
      </c>
      <c r="G242">
        <v>43</v>
      </c>
      <c r="H242">
        <v>34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t="s">
        <v>56</v>
      </c>
      <c r="U242" t="s">
        <v>64</v>
      </c>
      <c r="V242">
        <v>1</v>
      </c>
      <c r="W242">
        <v>0</v>
      </c>
      <c r="X242">
        <v>0</v>
      </c>
      <c r="Y242">
        <v>1</v>
      </c>
      <c r="AA242">
        <v>0</v>
      </c>
      <c r="AB242">
        <v>0</v>
      </c>
    </row>
    <row r="243" spans="1:28" x14ac:dyDescent="0.4">
      <c r="A243">
        <v>242</v>
      </c>
      <c r="B243">
        <v>242</v>
      </c>
      <c r="C243" t="s">
        <v>54</v>
      </c>
      <c r="D243" t="s">
        <v>323</v>
      </c>
      <c r="E243">
        <v>3</v>
      </c>
      <c r="F243">
        <v>5</v>
      </c>
      <c r="G243">
        <v>8</v>
      </c>
      <c r="H243">
        <v>8</v>
      </c>
      <c r="I243">
        <v>28</v>
      </c>
      <c r="J243">
        <v>2</v>
      </c>
      <c r="K243">
        <v>3</v>
      </c>
      <c r="L243">
        <v>0</v>
      </c>
      <c r="M243">
        <v>0</v>
      </c>
      <c r="N243">
        <v>4</v>
      </c>
      <c r="O243">
        <v>0</v>
      </c>
      <c r="P243">
        <v>1</v>
      </c>
      <c r="Q243">
        <v>0</v>
      </c>
      <c r="R243">
        <v>1</v>
      </c>
      <c r="S243">
        <v>0</v>
      </c>
      <c r="T243" t="s">
        <v>56</v>
      </c>
      <c r="U243" t="s">
        <v>45</v>
      </c>
      <c r="V243">
        <v>1</v>
      </c>
      <c r="W243">
        <v>1</v>
      </c>
      <c r="X243">
        <v>0</v>
      </c>
      <c r="Y243">
        <v>1</v>
      </c>
      <c r="AA243">
        <v>3</v>
      </c>
      <c r="AB243">
        <v>3</v>
      </c>
    </row>
    <row r="244" spans="1:28" x14ac:dyDescent="0.4">
      <c r="A244">
        <v>243</v>
      </c>
      <c r="B244">
        <v>243</v>
      </c>
      <c r="C244" t="s">
        <v>54</v>
      </c>
      <c r="D244" t="s">
        <v>324</v>
      </c>
      <c r="E244">
        <v>3</v>
      </c>
      <c r="F244">
        <v>5</v>
      </c>
      <c r="G244">
        <v>8</v>
      </c>
      <c r="H244">
        <v>8</v>
      </c>
      <c r="I244">
        <v>28</v>
      </c>
      <c r="J244">
        <v>3</v>
      </c>
      <c r="K244">
        <v>5</v>
      </c>
      <c r="L244">
        <v>0</v>
      </c>
      <c r="M244">
        <v>0</v>
      </c>
      <c r="N244">
        <v>6</v>
      </c>
      <c r="O244">
        <v>0</v>
      </c>
      <c r="P244">
        <v>2</v>
      </c>
      <c r="Q244">
        <v>0</v>
      </c>
      <c r="R244">
        <v>3</v>
      </c>
      <c r="S244">
        <v>0</v>
      </c>
      <c r="T244" t="s">
        <v>56</v>
      </c>
      <c r="U244" t="s">
        <v>64</v>
      </c>
      <c r="V244">
        <v>1</v>
      </c>
      <c r="W244">
        <v>2</v>
      </c>
      <c r="X244">
        <v>0</v>
      </c>
      <c r="Y244">
        <v>1</v>
      </c>
      <c r="AA244">
        <v>3</v>
      </c>
      <c r="AB244">
        <v>3</v>
      </c>
    </row>
    <row r="245" spans="1:28" x14ac:dyDescent="0.4">
      <c r="A245">
        <v>244</v>
      </c>
      <c r="B245">
        <v>244</v>
      </c>
      <c r="C245" t="s">
        <v>54</v>
      </c>
      <c r="D245" t="s">
        <v>325</v>
      </c>
      <c r="E245">
        <v>3</v>
      </c>
      <c r="F245">
        <v>5</v>
      </c>
      <c r="G245">
        <v>8</v>
      </c>
      <c r="H245">
        <v>8</v>
      </c>
      <c r="I245">
        <v>28</v>
      </c>
      <c r="J245">
        <v>4</v>
      </c>
      <c r="K245">
        <v>8</v>
      </c>
      <c r="L245">
        <v>0</v>
      </c>
      <c r="M245">
        <v>0</v>
      </c>
      <c r="N245">
        <v>10</v>
      </c>
      <c r="O245">
        <v>0</v>
      </c>
      <c r="P245">
        <v>5</v>
      </c>
      <c r="Q245">
        <v>0</v>
      </c>
      <c r="R245">
        <v>4</v>
      </c>
      <c r="S245">
        <v>0</v>
      </c>
      <c r="T245" t="s">
        <v>56</v>
      </c>
      <c r="U245" t="s">
        <v>80</v>
      </c>
      <c r="V245">
        <v>1</v>
      </c>
      <c r="W245">
        <v>3</v>
      </c>
      <c r="X245">
        <v>0</v>
      </c>
      <c r="Y245">
        <v>2</v>
      </c>
      <c r="AA245">
        <v>3</v>
      </c>
      <c r="AB245">
        <v>4</v>
      </c>
    </row>
    <row r="246" spans="1:28" x14ac:dyDescent="0.4">
      <c r="A246">
        <v>245</v>
      </c>
      <c r="B246">
        <v>245</v>
      </c>
      <c r="C246" t="s">
        <v>39</v>
      </c>
      <c r="D246" t="s">
        <v>326</v>
      </c>
      <c r="E246">
        <v>1</v>
      </c>
      <c r="F246">
        <v>1</v>
      </c>
      <c r="G246">
        <v>3</v>
      </c>
      <c r="H246">
        <v>3</v>
      </c>
      <c r="I246">
        <v>0</v>
      </c>
      <c r="J246">
        <v>21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1</v>
      </c>
      <c r="S246">
        <v>0</v>
      </c>
      <c r="T246" t="s">
        <v>41</v>
      </c>
      <c r="U246" t="s">
        <v>80</v>
      </c>
      <c r="V246">
        <v>0</v>
      </c>
      <c r="W246">
        <v>20</v>
      </c>
      <c r="X246">
        <v>24</v>
      </c>
      <c r="Y246">
        <v>3</v>
      </c>
      <c r="AA246">
        <v>0</v>
      </c>
      <c r="AB246">
        <v>0</v>
      </c>
    </row>
    <row r="247" spans="1:28" x14ac:dyDescent="0.4">
      <c r="A247">
        <v>246</v>
      </c>
      <c r="B247">
        <v>246</v>
      </c>
      <c r="C247" t="s">
        <v>39</v>
      </c>
      <c r="D247" t="s">
        <v>327</v>
      </c>
      <c r="E247">
        <v>1</v>
      </c>
      <c r="F247">
        <v>1</v>
      </c>
      <c r="G247">
        <v>3</v>
      </c>
      <c r="H247">
        <v>3</v>
      </c>
      <c r="I247">
        <v>0</v>
      </c>
      <c r="J247">
        <v>22</v>
      </c>
      <c r="K247">
        <v>0</v>
      </c>
      <c r="L247">
        <v>2</v>
      </c>
      <c r="M247">
        <v>1</v>
      </c>
      <c r="N247">
        <v>0</v>
      </c>
      <c r="O247">
        <v>0</v>
      </c>
      <c r="P247">
        <v>0</v>
      </c>
      <c r="Q247">
        <v>0</v>
      </c>
      <c r="R247">
        <v>3</v>
      </c>
      <c r="S247">
        <v>0</v>
      </c>
      <c r="T247" t="s">
        <v>36</v>
      </c>
      <c r="U247" t="s">
        <v>113</v>
      </c>
      <c r="V247">
        <v>0</v>
      </c>
      <c r="W247">
        <v>21</v>
      </c>
      <c r="X247">
        <v>24</v>
      </c>
      <c r="Y247">
        <v>4</v>
      </c>
      <c r="AA247">
        <v>0</v>
      </c>
      <c r="AB247">
        <v>0</v>
      </c>
    </row>
    <row r="248" spans="1:28" x14ac:dyDescent="0.4">
      <c r="A248">
        <v>247</v>
      </c>
      <c r="B248">
        <v>247</v>
      </c>
      <c r="C248" t="s">
        <v>46</v>
      </c>
      <c r="D248" t="s">
        <v>328</v>
      </c>
      <c r="E248">
        <v>1</v>
      </c>
      <c r="F248">
        <v>2</v>
      </c>
      <c r="G248">
        <v>4</v>
      </c>
      <c r="H248">
        <v>4</v>
      </c>
      <c r="I248">
        <v>0</v>
      </c>
      <c r="J248">
        <v>6</v>
      </c>
      <c r="K248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3</v>
      </c>
      <c r="S248">
        <v>0</v>
      </c>
      <c r="T248" t="s">
        <v>36</v>
      </c>
      <c r="U248" t="s">
        <v>64</v>
      </c>
      <c r="V248">
        <v>0</v>
      </c>
      <c r="W248">
        <v>2</v>
      </c>
      <c r="X248">
        <v>5</v>
      </c>
      <c r="Y248">
        <v>0</v>
      </c>
      <c r="AA248">
        <v>0</v>
      </c>
      <c r="AB248">
        <v>0</v>
      </c>
    </row>
    <row r="249" spans="1:28" x14ac:dyDescent="0.4">
      <c r="A249">
        <v>248</v>
      </c>
      <c r="B249">
        <v>248</v>
      </c>
      <c r="C249" t="s">
        <v>65</v>
      </c>
      <c r="D249" t="s">
        <v>329</v>
      </c>
      <c r="E249">
        <v>3</v>
      </c>
      <c r="F249">
        <v>5</v>
      </c>
      <c r="G249">
        <v>7</v>
      </c>
      <c r="H249">
        <v>7</v>
      </c>
      <c r="I249">
        <v>14</v>
      </c>
      <c r="J249">
        <v>0</v>
      </c>
      <c r="K249">
        <v>0</v>
      </c>
      <c r="L249">
        <v>2</v>
      </c>
      <c r="M249">
        <v>0</v>
      </c>
      <c r="N249">
        <v>2</v>
      </c>
      <c r="O249">
        <v>2</v>
      </c>
      <c r="P249">
        <v>0</v>
      </c>
      <c r="Q249">
        <v>0</v>
      </c>
      <c r="R249">
        <v>0</v>
      </c>
      <c r="S249">
        <v>4</v>
      </c>
      <c r="T249" t="s">
        <v>56</v>
      </c>
      <c r="U249" t="s">
        <v>45</v>
      </c>
      <c r="V249">
        <v>1</v>
      </c>
      <c r="W249">
        <v>2</v>
      </c>
      <c r="X249">
        <v>0</v>
      </c>
      <c r="Y249">
        <v>1</v>
      </c>
      <c r="AA249">
        <v>4</v>
      </c>
      <c r="AB249">
        <v>4</v>
      </c>
    </row>
    <row r="250" spans="1:28" x14ac:dyDescent="0.4">
      <c r="A250">
        <v>249</v>
      </c>
      <c r="B250">
        <v>249</v>
      </c>
      <c r="C250" t="s">
        <v>59</v>
      </c>
      <c r="D250" t="s">
        <v>330</v>
      </c>
      <c r="E250">
        <v>3</v>
      </c>
      <c r="F250">
        <v>5</v>
      </c>
      <c r="G250">
        <v>6</v>
      </c>
      <c r="H250">
        <v>6</v>
      </c>
      <c r="I250">
        <v>14</v>
      </c>
      <c r="J250">
        <v>1</v>
      </c>
      <c r="K250">
        <v>0</v>
      </c>
      <c r="L250">
        <v>3</v>
      </c>
      <c r="M250">
        <v>0</v>
      </c>
      <c r="N250">
        <v>2</v>
      </c>
      <c r="O250">
        <v>1</v>
      </c>
      <c r="P250">
        <v>1</v>
      </c>
      <c r="Q250">
        <v>0</v>
      </c>
      <c r="R250">
        <v>2</v>
      </c>
      <c r="S250">
        <v>0</v>
      </c>
      <c r="T250" t="s">
        <v>56</v>
      </c>
      <c r="U250" t="s">
        <v>45</v>
      </c>
      <c r="V250">
        <v>1</v>
      </c>
      <c r="W250">
        <v>2</v>
      </c>
      <c r="X250">
        <v>0</v>
      </c>
      <c r="Y250">
        <v>2</v>
      </c>
      <c r="AA250">
        <v>4</v>
      </c>
      <c r="AB250">
        <v>5</v>
      </c>
    </row>
    <row r="251" spans="1:28" x14ac:dyDescent="0.4">
      <c r="A251">
        <v>250</v>
      </c>
      <c r="B251">
        <v>250</v>
      </c>
      <c r="C251" t="s">
        <v>251</v>
      </c>
      <c r="D251" t="s">
        <v>331</v>
      </c>
      <c r="E251">
        <v>22</v>
      </c>
      <c r="F251">
        <v>39</v>
      </c>
      <c r="G251">
        <v>48</v>
      </c>
      <c r="H251">
        <v>44</v>
      </c>
      <c r="I251">
        <v>29</v>
      </c>
      <c r="J251">
        <v>1</v>
      </c>
      <c r="K251">
        <v>0</v>
      </c>
      <c r="L251">
        <v>7</v>
      </c>
      <c r="M251">
        <v>0</v>
      </c>
      <c r="N251">
        <v>0</v>
      </c>
      <c r="O251">
        <v>1</v>
      </c>
      <c r="P251">
        <v>0</v>
      </c>
      <c r="Q251">
        <v>0</v>
      </c>
      <c r="R251">
        <v>2</v>
      </c>
      <c r="S251">
        <v>0</v>
      </c>
      <c r="T251" t="s">
        <v>56</v>
      </c>
      <c r="U251" t="s">
        <v>64</v>
      </c>
      <c r="V251">
        <v>1</v>
      </c>
      <c r="W251">
        <v>2</v>
      </c>
      <c r="X251">
        <v>0</v>
      </c>
      <c r="Y251">
        <v>4</v>
      </c>
      <c r="AA251">
        <v>4</v>
      </c>
      <c r="AB251">
        <v>5</v>
      </c>
    </row>
    <row r="252" spans="1:28" x14ac:dyDescent="0.4">
      <c r="A252">
        <v>251</v>
      </c>
      <c r="B252">
        <v>251</v>
      </c>
      <c r="C252" t="s">
        <v>251</v>
      </c>
      <c r="D252" t="s">
        <v>332</v>
      </c>
      <c r="E252">
        <v>22</v>
      </c>
      <c r="F252">
        <v>39</v>
      </c>
      <c r="G252">
        <v>48</v>
      </c>
      <c r="H252">
        <v>44</v>
      </c>
      <c r="I252">
        <v>29</v>
      </c>
      <c r="J252">
        <v>1</v>
      </c>
      <c r="K252">
        <v>0</v>
      </c>
      <c r="L252">
        <v>9</v>
      </c>
      <c r="M252">
        <v>0</v>
      </c>
      <c r="N252">
        <v>0</v>
      </c>
      <c r="O252">
        <v>2</v>
      </c>
      <c r="P252">
        <v>0</v>
      </c>
      <c r="Q252">
        <v>0</v>
      </c>
      <c r="R252">
        <v>3</v>
      </c>
      <c r="S252">
        <v>0</v>
      </c>
      <c r="T252" t="s">
        <v>56</v>
      </c>
      <c r="U252" t="s">
        <v>80</v>
      </c>
      <c r="V252">
        <v>1</v>
      </c>
      <c r="W252">
        <v>2</v>
      </c>
      <c r="X252">
        <v>0</v>
      </c>
      <c r="Y252">
        <v>6</v>
      </c>
      <c r="AA252">
        <v>5</v>
      </c>
      <c r="AB252">
        <v>5</v>
      </c>
    </row>
    <row r="253" spans="1:28" x14ac:dyDescent="0.4">
      <c r="A253">
        <v>252</v>
      </c>
      <c r="B253">
        <v>252</v>
      </c>
      <c r="C253" t="s">
        <v>59</v>
      </c>
      <c r="D253" t="s">
        <v>333</v>
      </c>
      <c r="E253">
        <v>3</v>
      </c>
      <c r="F253">
        <v>5</v>
      </c>
      <c r="G253">
        <v>6</v>
      </c>
      <c r="H253">
        <v>6</v>
      </c>
      <c r="I253">
        <v>29</v>
      </c>
      <c r="J253">
        <v>1</v>
      </c>
      <c r="K253">
        <v>0</v>
      </c>
      <c r="L253">
        <v>9</v>
      </c>
      <c r="M253">
        <v>1</v>
      </c>
      <c r="N253">
        <v>0</v>
      </c>
      <c r="O253">
        <v>2</v>
      </c>
      <c r="P253">
        <v>0</v>
      </c>
      <c r="Q253">
        <v>0</v>
      </c>
      <c r="R253">
        <v>1</v>
      </c>
      <c r="S253">
        <v>0</v>
      </c>
      <c r="T253" t="s">
        <v>56</v>
      </c>
      <c r="U253" t="s">
        <v>80</v>
      </c>
      <c r="V253">
        <v>1</v>
      </c>
      <c r="W253">
        <v>2</v>
      </c>
      <c r="X253">
        <v>0</v>
      </c>
      <c r="Y253">
        <v>6</v>
      </c>
      <c r="AA253">
        <v>4</v>
      </c>
      <c r="AB253">
        <v>6</v>
      </c>
    </row>
    <row r="254" spans="1:28" x14ac:dyDescent="0.4">
      <c r="A254">
        <v>253</v>
      </c>
      <c r="B254">
        <v>253</v>
      </c>
      <c r="C254" t="s">
        <v>251</v>
      </c>
      <c r="D254" t="s">
        <v>334</v>
      </c>
      <c r="E254">
        <v>22</v>
      </c>
      <c r="F254">
        <v>39</v>
      </c>
      <c r="G254">
        <v>48</v>
      </c>
      <c r="H254">
        <v>44</v>
      </c>
      <c r="I254">
        <v>29</v>
      </c>
      <c r="J254">
        <v>1</v>
      </c>
      <c r="K254">
        <v>0</v>
      </c>
      <c r="L254">
        <v>10</v>
      </c>
      <c r="M254">
        <v>0</v>
      </c>
      <c r="N254">
        <v>0</v>
      </c>
      <c r="O254">
        <v>4</v>
      </c>
      <c r="P254">
        <v>0</v>
      </c>
      <c r="Q254">
        <v>0</v>
      </c>
      <c r="R254">
        <v>2</v>
      </c>
      <c r="S254">
        <v>0</v>
      </c>
      <c r="T254" t="s">
        <v>56</v>
      </c>
      <c r="U254" t="s">
        <v>113</v>
      </c>
      <c r="V254">
        <v>2</v>
      </c>
      <c r="W254">
        <v>2</v>
      </c>
      <c r="X254">
        <v>0</v>
      </c>
      <c r="Y254">
        <v>7</v>
      </c>
      <c r="AA254">
        <v>4</v>
      </c>
      <c r="AB254">
        <v>6</v>
      </c>
    </row>
    <row r="255" spans="1:28" x14ac:dyDescent="0.4">
      <c r="A255">
        <v>254</v>
      </c>
      <c r="B255">
        <v>254</v>
      </c>
      <c r="C255" t="s">
        <v>59</v>
      </c>
      <c r="D255" t="s">
        <v>335</v>
      </c>
      <c r="E255">
        <v>3</v>
      </c>
      <c r="F255">
        <v>5</v>
      </c>
      <c r="G255">
        <v>6</v>
      </c>
      <c r="H255">
        <v>45</v>
      </c>
      <c r="I255">
        <v>21</v>
      </c>
      <c r="J255">
        <v>0</v>
      </c>
      <c r="K255">
        <v>0</v>
      </c>
      <c r="L255">
        <v>8</v>
      </c>
      <c r="M255">
        <v>0</v>
      </c>
      <c r="N255">
        <v>4</v>
      </c>
      <c r="O255">
        <v>3</v>
      </c>
      <c r="P255">
        <v>2</v>
      </c>
      <c r="Q255">
        <v>0</v>
      </c>
      <c r="R255">
        <v>2</v>
      </c>
      <c r="S255">
        <v>0</v>
      </c>
      <c r="T255" t="s">
        <v>56</v>
      </c>
      <c r="U255" t="s">
        <v>80</v>
      </c>
      <c r="V255">
        <v>2</v>
      </c>
      <c r="W255">
        <v>3</v>
      </c>
      <c r="X255">
        <v>0</v>
      </c>
      <c r="Y255">
        <v>5</v>
      </c>
      <c r="AA255">
        <v>5</v>
      </c>
      <c r="AB255">
        <v>9</v>
      </c>
    </row>
    <row r="256" spans="1:28" x14ac:dyDescent="0.4">
      <c r="A256">
        <v>255</v>
      </c>
      <c r="B256">
        <v>255</v>
      </c>
      <c r="C256" t="s">
        <v>59</v>
      </c>
      <c r="D256" t="s">
        <v>336</v>
      </c>
      <c r="E256">
        <v>3</v>
      </c>
      <c r="F256">
        <v>5</v>
      </c>
      <c r="G256">
        <v>6</v>
      </c>
      <c r="H256">
        <v>45</v>
      </c>
      <c r="I256">
        <v>21</v>
      </c>
      <c r="J256">
        <v>0</v>
      </c>
      <c r="K256">
        <v>0</v>
      </c>
      <c r="L256">
        <v>10</v>
      </c>
      <c r="M256">
        <v>0</v>
      </c>
      <c r="N256">
        <v>5</v>
      </c>
      <c r="O256">
        <v>3</v>
      </c>
      <c r="P256">
        <v>3</v>
      </c>
      <c r="Q256">
        <v>0</v>
      </c>
      <c r="R256">
        <v>3</v>
      </c>
      <c r="S256">
        <v>0</v>
      </c>
      <c r="T256" t="s">
        <v>56</v>
      </c>
      <c r="U256" t="s">
        <v>113</v>
      </c>
      <c r="V256">
        <v>2</v>
      </c>
      <c r="W256">
        <v>4</v>
      </c>
      <c r="X256">
        <v>0</v>
      </c>
      <c r="Y256">
        <v>6</v>
      </c>
      <c r="AA256">
        <v>5</v>
      </c>
      <c r="AB256">
        <v>9</v>
      </c>
    </row>
    <row r="257" spans="1:28" x14ac:dyDescent="0.4">
      <c r="A257">
        <v>256</v>
      </c>
      <c r="B257">
        <v>256</v>
      </c>
      <c r="C257" t="s">
        <v>54</v>
      </c>
      <c r="D257" t="s">
        <v>337</v>
      </c>
      <c r="E257">
        <v>3</v>
      </c>
      <c r="F257">
        <v>5</v>
      </c>
      <c r="G257">
        <v>8</v>
      </c>
      <c r="H257">
        <v>8</v>
      </c>
      <c r="I257">
        <v>21</v>
      </c>
      <c r="J257">
        <v>2</v>
      </c>
      <c r="K257">
        <v>9</v>
      </c>
      <c r="L257">
        <v>1</v>
      </c>
      <c r="M257">
        <v>0</v>
      </c>
      <c r="N257">
        <v>6</v>
      </c>
      <c r="O257">
        <v>0</v>
      </c>
      <c r="P257">
        <v>2</v>
      </c>
      <c r="Q257">
        <v>0</v>
      </c>
      <c r="R257">
        <v>0</v>
      </c>
      <c r="S257">
        <v>0</v>
      </c>
      <c r="T257" t="s">
        <v>56</v>
      </c>
      <c r="U257" t="s">
        <v>64</v>
      </c>
      <c r="V257">
        <v>3</v>
      </c>
      <c r="W257">
        <v>6</v>
      </c>
      <c r="X257">
        <v>0</v>
      </c>
      <c r="Y257">
        <v>11</v>
      </c>
      <c r="AA257">
        <v>6</v>
      </c>
      <c r="AB257">
        <v>10</v>
      </c>
    </row>
    <row r="258" spans="1:28" x14ac:dyDescent="0.4">
      <c r="A258">
        <v>257</v>
      </c>
      <c r="B258">
        <v>257</v>
      </c>
      <c r="C258" t="s">
        <v>54</v>
      </c>
      <c r="D258" t="s">
        <v>338</v>
      </c>
      <c r="E258">
        <v>3</v>
      </c>
      <c r="F258">
        <v>5</v>
      </c>
      <c r="G258">
        <v>8</v>
      </c>
      <c r="H258">
        <v>46</v>
      </c>
      <c r="I258">
        <v>21</v>
      </c>
      <c r="J258">
        <v>2</v>
      </c>
      <c r="K258">
        <v>9</v>
      </c>
      <c r="L258">
        <v>1</v>
      </c>
      <c r="M258">
        <v>0</v>
      </c>
      <c r="N258">
        <v>8</v>
      </c>
      <c r="O258">
        <v>0</v>
      </c>
      <c r="P258">
        <v>4</v>
      </c>
      <c r="Q258">
        <v>0</v>
      </c>
      <c r="R258">
        <v>2</v>
      </c>
      <c r="S258">
        <v>0</v>
      </c>
      <c r="T258" t="s">
        <v>56</v>
      </c>
      <c r="U258" t="s">
        <v>80</v>
      </c>
      <c r="V258">
        <v>3</v>
      </c>
      <c r="W258">
        <v>7</v>
      </c>
      <c r="X258">
        <v>0</v>
      </c>
      <c r="Y258">
        <v>12</v>
      </c>
      <c r="AA258">
        <v>6</v>
      </c>
      <c r="AB258">
        <v>11</v>
      </c>
    </row>
    <row r="259" spans="1:28" x14ac:dyDescent="0.4">
      <c r="A259">
        <v>258</v>
      </c>
      <c r="B259">
        <v>258</v>
      </c>
      <c r="C259" t="s">
        <v>173</v>
      </c>
      <c r="D259" t="s">
        <v>339</v>
      </c>
      <c r="E259">
        <v>13</v>
      </c>
      <c r="F259">
        <v>23</v>
      </c>
      <c r="G259">
        <v>35</v>
      </c>
      <c r="H259">
        <v>29</v>
      </c>
      <c r="I259">
        <v>0</v>
      </c>
      <c r="J259">
        <v>1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t="s">
        <v>36</v>
      </c>
      <c r="U259" t="s">
        <v>64</v>
      </c>
      <c r="V259">
        <v>1</v>
      </c>
      <c r="W259">
        <v>10</v>
      </c>
      <c r="X259">
        <v>1</v>
      </c>
      <c r="Y259">
        <v>10</v>
      </c>
      <c r="AA259">
        <v>0</v>
      </c>
      <c r="AB259">
        <v>0</v>
      </c>
    </row>
    <row r="260" spans="1:28" x14ac:dyDescent="0.4">
      <c r="A260">
        <v>259</v>
      </c>
      <c r="B260">
        <v>259</v>
      </c>
      <c r="C260" t="s">
        <v>173</v>
      </c>
      <c r="D260" t="s">
        <v>340</v>
      </c>
      <c r="E260">
        <v>13</v>
      </c>
      <c r="F260">
        <v>23</v>
      </c>
      <c r="G260">
        <v>35</v>
      </c>
      <c r="H260">
        <v>29</v>
      </c>
      <c r="I260">
        <v>0</v>
      </c>
      <c r="J260">
        <v>3</v>
      </c>
      <c r="K260">
        <v>0</v>
      </c>
      <c r="L260">
        <v>0</v>
      </c>
      <c r="M260">
        <v>1</v>
      </c>
      <c r="N260">
        <v>0</v>
      </c>
      <c r="O260">
        <v>1</v>
      </c>
      <c r="P260">
        <v>0</v>
      </c>
      <c r="Q260">
        <v>0</v>
      </c>
      <c r="R260">
        <v>2</v>
      </c>
      <c r="S260">
        <v>0</v>
      </c>
      <c r="T260" t="s">
        <v>41</v>
      </c>
      <c r="U260" t="s">
        <v>80</v>
      </c>
      <c r="V260">
        <v>1</v>
      </c>
      <c r="W260">
        <v>10</v>
      </c>
      <c r="X260">
        <v>1</v>
      </c>
      <c r="Y260">
        <v>10</v>
      </c>
      <c r="AA260">
        <v>0</v>
      </c>
      <c r="AB260">
        <v>0</v>
      </c>
    </row>
    <row r="261" spans="1:28" x14ac:dyDescent="0.4">
      <c r="A261">
        <v>260</v>
      </c>
      <c r="B261">
        <v>260</v>
      </c>
      <c r="C261" t="s">
        <v>100</v>
      </c>
      <c r="D261" t="s">
        <v>341</v>
      </c>
      <c r="E261">
        <v>7</v>
      </c>
      <c r="F261">
        <v>10</v>
      </c>
      <c r="G261">
        <v>14</v>
      </c>
      <c r="H261">
        <v>18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11</v>
      </c>
      <c r="O261">
        <v>1</v>
      </c>
      <c r="P261">
        <v>0</v>
      </c>
      <c r="Q261">
        <v>0</v>
      </c>
      <c r="R261">
        <v>2</v>
      </c>
      <c r="S261">
        <v>0</v>
      </c>
      <c r="T261" t="s">
        <v>56</v>
      </c>
      <c r="U261" t="s">
        <v>64</v>
      </c>
      <c r="V261">
        <v>0</v>
      </c>
      <c r="W261">
        <v>0</v>
      </c>
      <c r="X261">
        <v>1</v>
      </c>
      <c r="Y261">
        <v>4</v>
      </c>
      <c r="AA261">
        <v>0</v>
      </c>
      <c r="AB261">
        <v>0</v>
      </c>
    </row>
    <row r="262" spans="1:28" x14ac:dyDescent="0.4">
      <c r="A262">
        <v>261</v>
      </c>
      <c r="B262">
        <v>261</v>
      </c>
      <c r="C262" t="s">
        <v>100</v>
      </c>
      <c r="D262" t="s">
        <v>342</v>
      </c>
      <c r="E262">
        <v>7</v>
      </c>
      <c r="F262">
        <v>10</v>
      </c>
      <c r="G262">
        <v>14</v>
      </c>
      <c r="H262">
        <v>18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13</v>
      </c>
      <c r="O262">
        <v>1</v>
      </c>
      <c r="P262">
        <v>0</v>
      </c>
      <c r="Q262">
        <v>0</v>
      </c>
      <c r="R262">
        <v>3</v>
      </c>
      <c r="S262">
        <v>0</v>
      </c>
      <c r="T262" t="s">
        <v>56</v>
      </c>
      <c r="U262" t="s">
        <v>80</v>
      </c>
      <c r="V262">
        <v>0</v>
      </c>
      <c r="W262">
        <v>0</v>
      </c>
      <c r="X262">
        <v>1</v>
      </c>
      <c r="Y262">
        <v>5</v>
      </c>
      <c r="AA262">
        <v>0</v>
      </c>
      <c r="AB262">
        <v>0</v>
      </c>
    </row>
    <row r="263" spans="1:28" x14ac:dyDescent="0.4">
      <c r="A263">
        <v>262</v>
      </c>
      <c r="B263">
        <v>262</v>
      </c>
      <c r="C263" t="s">
        <v>100</v>
      </c>
      <c r="D263" t="s">
        <v>343</v>
      </c>
      <c r="E263">
        <v>7</v>
      </c>
      <c r="F263">
        <v>10</v>
      </c>
      <c r="G263">
        <v>14</v>
      </c>
      <c r="H263">
        <v>18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15</v>
      </c>
      <c r="O263">
        <v>2</v>
      </c>
      <c r="P263">
        <v>2</v>
      </c>
      <c r="Q263">
        <v>0</v>
      </c>
      <c r="R263">
        <v>3</v>
      </c>
      <c r="S263">
        <v>0</v>
      </c>
      <c r="T263" t="s">
        <v>56</v>
      </c>
      <c r="U263" t="s">
        <v>113</v>
      </c>
      <c r="V263">
        <v>0</v>
      </c>
      <c r="W263">
        <v>0</v>
      </c>
      <c r="X263">
        <v>1</v>
      </c>
      <c r="Y263">
        <v>6</v>
      </c>
      <c r="AA263">
        <v>0</v>
      </c>
      <c r="AB263">
        <v>0</v>
      </c>
    </row>
    <row r="264" spans="1:28" x14ac:dyDescent="0.4">
      <c r="A264">
        <v>263</v>
      </c>
      <c r="B264">
        <v>263</v>
      </c>
      <c r="C264" t="s">
        <v>251</v>
      </c>
      <c r="D264" t="s">
        <v>344</v>
      </c>
      <c r="E264">
        <v>22</v>
      </c>
      <c r="F264">
        <v>39</v>
      </c>
      <c r="G264">
        <v>48</v>
      </c>
      <c r="H264">
        <v>38</v>
      </c>
      <c r="I264">
        <v>12</v>
      </c>
      <c r="J264">
        <v>0</v>
      </c>
      <c r="K264">
        <v>0</v>
      </c>
      <c r="L264">
        <v>11</v>
      </c>
      <c r="M264">
        <v>2</v>
      </c>
      <c r="N264">
        <v>0</v>
      </c>
      <c r="O264">
        <v>4</v>
      </c>
      <c r="P264">
        <v>0</v>
      </c>
      <c r="Q264">
        <v>0</v>
      </c>
      <c r="R264">
        <v>2</v>
      </c>
      <c r="S264">
        <v>0</v>
      </c>
      <c r="T264" t="s">
        <v>56</v>
      </c>
      <c r="U264" t="s">
        <v>80</v>
      </c>
      <c r="V264">
        <v>2</v>
      </c>
      <c r="W264">
        <v>4</v>
      </c>
      <c r="X264">
        <v>0</v>
      </c>
      <c r="Y264">
        <v>8</v>
      </c>
      <c r="AA264">
        <v>4</v>
      </c>
      <c r="AB264">
        <v>6</v>
      </c>
    </row>
    <row r="265" spans="1:28" x14ac:dyDescent="0.4">
      <c r="A265">
        <v>266</v>
      </c>
      <c r="B265">
        <v>266</v>
      </c>
      <c r="C265" t="s">
        <v>28</v>
      </c>
      <c r="D265" t="s">
        <v>345</v>
      </c>
      <c r="E265">
        <v>1</v>
      </c>
      <c r="F265">
        <v>1</v>
      </c>
      <c r="G265">
        <v>1</v>
      </c>
      <c r="H265">
        <v>1</v>
      </c>
      <c r="I265">
        <v>0</v>
      </c>
      <c r="J265">
        <v>3</v>
      </c>
      <c r="K265">
        <v>0</v>
      </c>
      <c r="L265">
        <v>2</v>
      </c>
      <c r="M265">
        <v>1</v>
      </c>
      <c r="N265">
        <v>0</v>
      </c>
      <c r="O265">
        <v>0</v>
      </c>
      <c r="P265">
        <v>0</v>
      </c>
      <c r="Q265">
        <v>0</v>
      </c>
      <c r="R265">
        <v>1</v>
      </c>
      <c r="S265">
        <v>0</v>
      </c>
      <c r="T265" t="s">
        <v>30</v>
      </c>
      <c r="U265" t="s">
        <v>45</v>
      </c>
      <c r="V265">
        <v>0</v>
      </c>
      <c r="W265">
        <v>1</v>
      </c>
      <c r="X265">
        <v>2</v>
      </c>
      <c r="Y265">
        <v>0</v>
      </c>
      <c r="AA265">
        <v>0</v>
      </c>
      <c r="AB265">
        <v>0</v>
      </c>
    </row>
    <row r="266" spans="1:28" x14ac:dyDescent="0.4">
      <c r="A266">
        <v>267</v>
      </c>
      <c r="B266">
        <v>267</v>
      </c>
      <c r="C266" t="s">
        <v>28</v>
      </c>
      <c r="D266" t="s">
        <v>346</v>
      </c>
      <c r="E266">
        <v>1</v>
      </c>
      <c r="F266">
        <v>1</v>
      </c>
      <c r="G266">
        <v>1</v>
      </c>
      <c r="H266">
        <v>1</v>
      </c>
      <c r="I266">
        <v>0</v>
      </c>
      <c r="J266">
        <v>3</v>
      </c>
      <c r="K266">
        <v>0</v>
      </c>
      <c r="L266">
        <v>4</v>
      </c>
      <c r="M266">
        <v>1</v>
      </c>
      <c r="N266">
        <v>0</v>
      </c>
      <c r="O266">
        <v>1</v>
      </c>
      <c r="P266">
        <v>0</v>
      </c>
      <c r="Q266">
        <v>0</v>
      </c>
      <c r="R266">
        <v>2</v>
      </c>
      <c r="S266">
        <v>0</v>
      </c>
      <c r="T266" t="s">
        <v>30</v>
      </c>
      <c r="U266" t="s">
        <v>64</v>
      </c>
      <c r="V266">
        <v>0</v>
      </c>
      <c r="W266">
        <v>2</v>
      </c>
      <c r="X266">
        <v>2</v>
      </c>
      <c r="Y266">
        <v>1</v>
      </c>
      <c r="AA266">
        <v>0</v>
      </c>
      <c r="AB266">
        <v>0</v>
      </c>
    </row>
    <row r="267" spans="1:28" x14ac:dyDescent="0.4">
      <c r="A267">
        <v>268</v>
      </c>
      <c r="B267">
        <v>268</v>
      </c>
      <c r="C267" t="s">
        <v>132</v>
      </c>
      <c r="D267" t="s">
        <v>347</v>
      </c>
      <c r="E267">
        <v>6</v>
      </c>
      <c r="F267">
        <v>17</v>
      </c>
      <c r="G267">
        <v>27</v>
      </c>
      <c r="H267">
        <v>23</v>
      </c>
      <c r="I267">
        <v>0</v>
      </c>
      <c r="J267">
        <v>0</v>
      </c>
      <c r="K267">
        <v>0</v>
      </c>
      <c r="L267">
        <v>0</v>
      </c>
      <c r="M267">
        <v>2</v>
      </c>
      <c r="N267">
        <v>0</v>
      </c>
      <c r="O267">
        <v>2</v>
      </c>
      <c r="P267">
        <v>0</v>
      </c>
      <c r="Q267">
        <v>0</v>
      </c>
      <c r="R267">
        <v>0</v>
      </c>
      <c r="S267">
        <v>0</v>
      </c>
      <c r="T267" t="s">
        <v>56</v>
      </c>
      <c r="U267" t="s">
        <v>64</v>
      </c>
      <c r="V267">
        <v>1</v>
      </c>
      <c r="W267">
        <v>0</v>
      </c>
      <c r="X267">
        <v>3</v>
      </c>
      <c r="Y267">
        <v>1</v>
      </c>
      <c r="AA267">
        <v>0</v>
      </c>
      <c r="AB267">
        <v>0</v>
      </c>
    </row>
    <row r="268" spans="1:28" x14ac:dyDescent="0.4">
      <c r="A268">
        <v>269</v>
      </c>
      <c r="B268">
        <v>269</v>
      </c>
      <c r="C268" t="s">
        <v>243</v>
      </c>
      <c r="D268" t="s">
        <v>348</v>
      </c>
      <c r="E268">
        <v>21</v>
      </c>
      <c r="F268">
        <v>38</v>
      </c>
      <c r="G268">
        <v>47</v>
      </c>
      <c r="H268">
        <v>47</v>
      </c>
      <c r="I268">
        <v>30</v>
      </c>
      <c r="J268">
        <v>0</v>
      </c>
      <c r="K268">
        <v>0</v>
      </c>
      <c r="L268">
        <v>0</v>
      </c>
      <c r="M268">
        <v>0</v>
      </c>
      <c r="N268">
        <v>10</v>
      </c>
      <c r="O268">
        <v>0</v>
      </c>
      <c r="P268">
        <v>5</v>
      </c>
      <c r="Q268">
        <v>0</v>
      </c>
      <c r="R268">
        <v>0</v>
      </c>
      <c r="S268">
        <v>2</v>
      </c>
      <c r="T268" t="s">
        <v>56</v>
      </c>
      <c r="U268" t="s">
        <v>64</v>
      </c>
      <c r="V268">
        <v>3</v>
      </c>
      <c r="W268">
        <v>3</v>
      </c>
      <c r="X268">
        <v>0</v>
      </c>
      <c r="Y268">
        <v>12</v>
      </c>
      <c r="AA268">
        <v>8</v>
      </c>
      <c r="AB268">
        <v>9</v>
      </c>
    </row>
    <row r="269" spans="1:28" x14ac:dyDescent="0.4">
      <c r="A269">
        <v>270</v>
      </c>
      <c r="B269">
        <v>270</v>
      </c>
      <c r="C269" t="s">
        <v>243</v>
      </c>
      <c r="D269" t="s">
        <v>349</v>
      </c>
      <c r="E269">
        <v>21</v>
      </c>
      <c r="F269">
        <v>38</v>
      </c>
      <c r="G269">
        <v>47</v>
      </c>
      <c r="H269">
        <v>47</v>
      </c>
      <c r="I269">
        <v>30</v>
      </c>
      <c r="J269">
        <v>0</v>
      </c>
      <c r="K269">
        <v>0</v>
      </c>
      <c r="L269">
        <v>0</v>
      </c>
      <c r="M269">
        <v>0</v>
      </c>
      <c r="N269">
        <v>11</v>
      </c>
      <c r="O269">
        <v>0</v>
      </c>
      <c r="P269">
        <v>6</v>
      </c>
      <c r="Q269">
        <v>0</v>
      </c>
      <c r="R269">
        <v>1</v>
      </c>
      <c r="S269">
        <v>2</v>
      </c>
      <c r="T269" t="s">
        <v>56</v>
      </c>
      <c r="U269" t="s">
        <v>80</v>
      </c>
      <c r="V269">
        <v>4</v>
      </c>
      <c r="W269">
        <v>3</v>
      </c>
      <c r="X269">
        <v>0</v>
      </c>
      <c r="Y269">
        <v>13</v>
      </c>
      <c r="AA269">
        <v>8</v>
      </c>
      <c r="AB269">
        <v>9</v>
      </c>
    </row>
    <row r="270" spans="1:28" x14ac:dyDescent="0.4">
      <c r="A270">
        <v>271</v>
      </c>
      <c r="B270">
        <v>271</v>
      </c>
      <c r="C270" t="s">
        <v>59</v>
      </c>
      <c r="D270" t="s">
        <v>350</v>
      </c>
      <c r="E270">
        <v>3</v>
      </c>
      <c r="F270">
        <v>5</v>
      </c>
      <c r="G270">
        <v>6</v>
      </c>
      <c r="H270">
        <v>6</v>
      </c>
      <c r="I270">
        <v>12</v>
      </c>
      <c r="J270">
        <v>0</v>
      </c>
      <c r="K270">
        <v>0</v>
      </c>
      <c r="L270">
        <v>10</v>
      </c>
      <c r="M270">
        <v>1</v>
      </c>
      <c r="N270">
        <v>0</v>
      </c>
      <c r="O270">
        <v>3</v>
      </c>
      <c r="P270">
        <v>0</v>
      </c>
      <c r="Q270">
        <v>0</v>
      </c>
      <c r="R270">
        <v>1</v>
      </c>
      <c r="S270">
        <v>0</v>
      </c>
      <c r="T270" t="s">
        <v>56</v>
      </c>
      <c r="U270" t="s">
        <v>80</v>
      </c>
      <c r="V270">
        <v>2</v>
      </c>
      <c r="W270">
        <v>4</v>
      </c>
      <c r="X270">
        <v>0</v>
      </c>
      <c r="Y270">
        <v>8</v>
      </c>
      <c r="AA270">
        <v>4</v>
      </c>
      <c r="AB270">
        <v>7</v>
      </c>
    </row>
    <row r="271" spans="1:28" x14ac:dyDescent="0.4">
      <c r="A271">
        <v>272</v>
      </c>
      <c r="B271">
        <v>272</v>
      </c>
      <c r="C271" t="s">
        <v>171</v>
      </c>
      <c r="D271" t="s">
        <v>351</v>
      </c>
      <c r="E271">
        <v>12</v>
      </c>
      <c r="F271">
        <v>22</v>
      </c>
      <c r="G271">
        <v>34</v>
      </c>
      <c r="H271">
        <v>28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1</v>
      </c>
      <c r="P271">
        <v>1</v>
      </c>
      <c r="Q271">
        <v>0</v>
      </c>
      <c r="R271">
        <v>1</v>
      </c>
      <c r="S271">
        <v>0</v>
      </c>
      <c r="T271" t="s">
        <v>56</v>
      </c>
      <c r="U271" t="s">
        <v>113</v>
      </c>
      <c r="V271">
        <v>2</v>
      </c>
      <c r="W271">
        <v>1</v>
      </c>
      <c r="X271">
        <v>1</v>
      </c>
      <c r="Y271">
        <v>1</v>
      </c>
      <c r="AA271">
        <v>0</v>
      </c>
      <c r="AB271">
        <v>0</v>
      </c>
    </row>
    <row r="272" spans="1:28" x14ac:dyDescent="0.4">
      <c r="A272">
        <v>273</v>
      </c>
      <c r="B272">
        <v>273</v>
      </c>
      <c r="C272" t="s">
        <v>109</v>
      </c>
      <c r="D272" t="s">
        <v>352</v>
      </c>
      <c r="E272">
        <v>5</v>
      </c>
      <c r="F272">
        <v>7</v>
      </c>
      <c r="G272">
        <v>9</v>
      </c>
      <c r="H272">
        <v>9</v>
      </c>
      <c r="I272">
        <v>1</v>
      </c>
      <c r="J272">
        <v>0</v>
      </c>
      <c r="K272">
        <v>0</v>
      </c>
      <c r="L272">
        <v>2</v>
      </c>
      <c r="M272">
        <v>0</v>
      </c>
      <c r="N272">
        <v>0</v>
      </c>
      <c r="O272">
        <v>0</v>
      </c>
      <c r="P272">
        <v>10</v>
      </c>
      <c r="Q272">
        <v>0</v>
      </c>
      <c r="R272">
        <v>2</v>
      </c>
      <c r="S272">
        <v>0</v>
      </c>
      <c r="T272" t="s">
        <v>56</v>
      </c>
      <c r="U272" t="s">
        <v>80</v>
      </c>
      <c r="V272">
        <v>2</v>
      </c>
      <c r="W272">
        <v>0</v>
      </c>
      <c r="X272">
        <v>0</v>
      </c>
      <c r="Y272">
        <v>11</v>
      </c>
      <c r="AA272">
        <v>7</v>
      </c>
      <c r="AB272">
        <v>9</v>
      </c>
    </row>
    <row r="273" spans="1:28" x14ac:dyDescent="0.4">
      <c r="A273">
        <v>274</v>
      </c>
      <c r="B273">
        <v>274</v>
      </c>
      <c r="C273" t="s">
        <v>88</v>
      </c>
      <c r="D273" t="s">
        <v>353</v>
      </c>
      <c r="E273">
        <v>4</v>
      </c>
      <c r="F273">
        <v>29</v>
      </c>
      <c r="G273">
        <v>21</v>
      </c>
      <c r="H273">
        <v>15</v>
      </c>
      <c r="I273">
        <v>0</v>
      </c>
      <c r="J273">
        <v>0</v>
      </c>
      <c r="K273">
        <v>0</v>
      </c>
      <c r="L273">
        <v>8</v>
      </c>
      <c r="M273">
        <v>1</v>
      </c>
      <c r="N273">
        <v>0</v>
      </c>
      <c r="O273">
        <v>3</v>
      </c>
      <c r="P273">
        <v>0</v>
      </c>
      <c r="Q273">
        <v>0</v>
      </c>
      <c r="R273">
        <v>1</v>
      </c>
      <c r="S273">
        <v>0</v>
      </c>
      <c r="T273" t="s">
        <v>56</v>
      </c>
      <c r="U273" t="s">
        <v>80</v>
      </c>
      <c r="V273">
        <v>0</v>
      </c>
      <c r="W273">
        <v>5</v>
      </c>
      <c r="X273">
        <v>2</v>
      </c>
      <c r="Y273">
        <v>3</v>
      </c>
      <c r="AA273">
        <v>0</v>
      </c>
      <c r="AB273">
        <v>0</v>
      </c>
    </row>
    <row r="274" spans="1:28" x14ac:dyDescent="0.4">
      <c r="A274">
        <v>275</v>
      </c>
      <c r="B274">
        <v>275</v>
      </c>
      <c r="C274" t="s">
        <v>46</v>
      </c>
      <c r="D274" t="s">
        <v>354</v>
      </c>
      <c r="E274">
        <v>1</v>
      </c>
      <c r="F274">
        <v>2</v>
      </c>
      <c r="G274">
        <v>4</v>
      </c>
      <c r="H274">
        <v>16</v>
      </c>
      <c r="I274">
        <v>0</v>
      </c>
      <c r="J274">
        <v>2</v>
      </c>
      <c r="K274">
        <v>0</v>
      </c>
      <c r="L274">
        <v>9</v>
      </c>
      <c r="M274">
        <v>1</v>
      </c>
      <c r="N274">
        <v>0</v>
      </c>
      <c r="O274">
        <v>1</v>
      </c>
      <c r="P274">
        <v>0</v>
      </c>
      <c r="Q274">
        <v>0</v>
      </c>
      <c r="R274">
        <v>2</v>
      </c>
      <c r="S274">
        <v>0</v>
      </c>
      <c r="T274" t="s">
        <v>30</v>
      </c>
      <c r="U274" t="s">
        <v>80</v>
      </c>
      <c r="V274">
        <v>0</v>
      </c>
      <c r="W274">
        <v>3</v>
      </c>
      <c r="X274">
        <v>4</v>
      </c>
      <c r="Y274">
        <v>2</v>
      </c>
      <c r="AA274">
        <v>0</v>
      </c>
      <c r="AB274">
        <v>0</v>
      </c>
    </row>
    <row r="275" spans="1:28" x14ac:dyDescent="0.4">
      <c r="A275">
        <v>276</v>
      </c>
      <c r="B275">
        <v>276</v>
      </c>
      <c r="C275" t="s">
        <v>39</v>
      </c>
      <c r="D275" t="s">
        <v>355</v>
      </c>
      <c r="E275">
        <v>1</v>
      </c>
      <c r="F275">
        <v>1</v>
      </c>
      <c r="G275">
        <v>3</v>
      </c>
      <c r="H275">
        <v>3</v>
      </c>
      <c r="I275">
        <v>0</v>
      </c>
      <c r="J275">
        <v>27</v>
      </c>
      <c r="K275">
        <v>0</v>
      </c>
      <c r="L275">
        <v>6</v>
      </c>
      <c r="M275">
        <v>2</v>
      </c>
      <c r="N275">
        <v>0</v>
      </c>
      <c r="O275">
        <v>0</v>
      </c>
      <c r="P275">
        <v>0</v>
      </c>
      <c r="Q275">
        <v>0</v>
      </c>
      <c r="R275">
        <v>2</v>
      </c>
      <c r="S275">
        <v>0</v>
      </c>
      <c r="T275" t="s">
        <v>44</v>
      </c>
      <c r="U275" t="s">
        <v>80</v>
      </c>
      <c r="V275">
        <v>0</v>
      </c>
      <c r="W275">
        <v>25</v>
      </c>
      <c r="X275">
        <v>26</v>
      </c>
      <c r="Y275">
        <v>2</v>
      </c>
      <c r="AA275">
        <v>0</v>
      </c>
      <c r="AB275">
        <v>0</v>
      </c>
    </row>
    <row r="276" spans="1:28" x14ac:dyDescent="0.4">
      <c r="A276">
        <v>277</v>
      </c>
      <c r="B276">
        <v>277</v>
      </c>
      <c r="C276" t="s">
        <v>65</v>
      </c>
      <c r="D276" t="s">
        <v>356</v>
      </c>
      <c r="E276">
        <v>3</v>
      </c>
      <c r="F276">
        <v>5</v>
      </c>
      <c r="G276">
        <v>7</v>
      </c>
      <c r="H276">
        <v>7</v>
      </c>
      <c r="I276">
        <v>21</v>
      </c>
      <c r="J276">
        <v>2</v>
      </c>
      <c r="K276">
        <v>0</v>
      </c>
      <c r="L276">
        <v>6</v>
      </c>
      <c r="M276">
        <v>0</v>
      </c>
      <c r="N276">
        <v>1</v>
      </c>
      <c r="O276">
        <v>2</v>
      </c>
      <c r="P276">
        <v>0</v>
      </c>
      <c r="Q276">
        <v>0</v>
      </c>
      <c r="R276">
        <v>2</v>
      </c>
      <c r="S276">
        <v>2</v>
      </c>
      <c r="T276" t="s">
        <v>56</v>
      </c>
      <c r="U276" t="s">
        <v>80</v>
      </c>
      <c r="V276">
        <v>1</v>
      </c>
      <c r="W276">
        <v>3</v>
      </c>
      <c r="X276">
        <v>0</v>
      </c>
      <c r="Y276">
        <v>3</v>
      </c>
      <c r="AA276">
        <v>4</v>
      </c>
      <c r="AB276">
        <v>6</v>
      </c>
    </row>
    <row r="277" spans="1:28" x14ac:dyDescent="0.4">
      <c r="A277">
        <v>278</v>
      </c>
      <c r="B277">
        <v>278</v>
      </c>
      <c r="C277" t="s">
        <v>76</v>
      </c>
      <c r="D277" t="s">
        <v>357</v>
      </c>
      <c r="E277">
        <v>5</v>
      </c>
      <c r="F277">
        <v>8</v>
      </c>
      <c r="G277">
        <v>13</v>
      </c>
      <c r="H277">
        <v>11</v>
      </c>
      <c r="I277">
        <v>0</v>
      </c>
      <c r="J277">
        <v>0</v>
      </c>
      <c r="K277">
        <v>0</v>
      </c>
      <c r="L277">
        <v>8</v>
      </c>
      <c r="M277">
        <v>0</v>
      </c>
      <c r="N277">
        <v>0</v>
      </c>
      <c r="O277">
        <v>2</v>
      </c>
      <c r="P277">
        <v>10</v>
      </c>
      <c r="Q277">
        <v>0</v>
      </c>
      <c r="R277">
        <v>1</v>
      </c>
      <c r="S277">
        <v>0</v>
      </c>
      <c r="T277" t="s">
        <v>56</v>
      </c>
      <c r="U277" t="s">
        <v>64</v>
      </c>
      <c r="V277">
        <v>0</v>
      </c>
      <c r="W277">
        <v>0</v>
      </c>
      <c r="X277">
        <v>21</v>
      </c>
      <c r="Y277">
        <v>25</v>
      </c>
      <c r="AA277">
        <v>0</v>
      </c>
      <c r="AB277">
        <v>0</v>
      </c>
    </row>
    <row r="278" spans="1:28" x14ac:dyDescent="0.4">
      <c r="A278">
        <v>279</v>
      </c>
      <c r="B278">
        <v>279</v>
      </c>
      <c r="C278" t="s">
        <v>76</v>
      </c>
      <c r="D278" t="s">
        <v>683</v>
      </c>
      <c r="E278">
        <v>5</v>
      </c>
      <c r="F278">
        <v>8</v>
      </c>
      <c r="G278">
        <v>13</v>
      </c>
      <c r="H278">
        <v>11</v>
      </c>
      <c r="I278">
        <v>0</v>
      </c>
      <c r="J278">
        <v>1</v>
      </c>
      <c r="K278">
        <v>0</v>
      </c>
      <c r="L278">
        <v>9</v>
      </c>
      <c r="M278">
        <v>0</v>
      </c>
      <c r="N278">
        <v>0</v>
      </c>
      <c r="O278">
        <v>4</v>
      </c>
      <c r="P278">
        <v>12</v>
      </c>
      <c r="Q278">
        <v>0</v>
      </c>
      <c r="R278">
        <v>4</v>
      </c>
      <c r="S278">
        <v>0</v>
      </c>
      <c r="T278" t="s">
        <v>36</v>
      </c>
      <c r="U278" t="s">
        <v>80</v>
      </c>
      <c r="V278">
        <v>0</v>
      </c>
      <c r="W278">
        <v>0</v>
      </c>
      <c r="X278">
        <v>22</v>
      </c>
      <c r="Y278">
        <v>27</v>
      </c>
      <c r="AA278">
        <v>0</v>
      </c>
      <c r="AB278">
        <v>0</v>
      </c>
    </row>
    <row r="279" spans="1:28" x14ac:dyDescent="0.4">
      <c r="A279">
        <v>280</v>
      </c>
      <c r="B279">
        <v>280</v>
      </c>
      <c r="C279" t="s">
        <v>28</v>
      </c>
      <c r="D279" t="s">
        <v>359</v>
      </c>
      <c r="E279">
        <v>1</v>
      </c>
      <c r="F279">
        <v>1</v>
      </c>
      <c r="G279">
        <v>1</v>
      </c>
      <c r="H279">
        <v>1</v>
      </c>
      <c r="I279">
        <v>0</v>
      </c>
      <c r="J279">
        <v>3</v>
      </c>
      <c r="K279">
        <v>0</v>
      </c>
      <c r="L279">
        <v>3</v>
      </c>
      <c r="M279">
        <v>0</v>
      </c>
      <c r="N279">
        <v>1</v>
      </c>
      <c r="O279">
        <v>1</v>
      </c>
      <c r="P279">
        <v>0</v>
      </c>
      <c r="Q279">
        <v>0</v>
      </c>
      <c r="R279">
        <v>1</v>
      </c>
      <c r="S279">
        <v>0</v>
      </c>
      <c r="T279" t="s">
        <v>30</v>
      </c>
      <c r="U279" t="s">
        <v>64</v>
      </c>
      <c r="V279">
        <v>0</v>
      </c>
      <c r="W279">
        <v>2</v>
      </c>
      <c r="X279">
        <v>2</v>
      </c>
      <c r="Y279">
        <v>1</v>
      </c>
      <c r="AA279">
        <v>0</v>
      </c>
      <c r="AB279">
        <v>0</v>
      </c>
    </row>
    <row r="280" spans="1:28" x14ac:dyDescent="0.4">
      <c r="A280">
        <v>281</v>
      </c>
      <c r="B280">
        <v>281</v>
      </c>
      <c r="C280" t="s">
        <v>39</v>
      </c>
      <c r="D280" t="s">
        <v>360</v>
      </c>
      <c r="E280">
        <v>1</v>
      </c>
      <c r="F280">
        <v>1</v>
      </c>
      <c r="G280">
        <v>3</v>
      </c>
      <c r="H280">
        <v>3</v>
      </c>
      <c r="I280">
        <v>0</v>
      </c>
      <c r="J280">
        <v>32</v>
      </c>
      <c r="K280">
        <v>0</v>
      </c>
      <c r="L280">
        <v>5</v>
      </c>
      <c r="M280">
        <v>2</v>
      </c>
      <c r="N280">
        <v>0</v>
      </c>
      <c r="O280">
        <v>-1</v>
      </c>
      <c r="P280">
        <v>0</v>
      </c>
      <c r="Q280">
        <v>0</v>
      </c>
      <c r="R280">
        <v>1</v>
      </c>
      <c r="S280">
        <v>0</v>
      </c>
      <c r="T280" t="s">
        <v>44</v>
      </c>
      <c r="U280" t="s">
        <v>113</v>
      </c>
      <c r="V280">
        <v>0</v>
      </c>
      <c r="W280">
        <v>30</v>
      </c>
      <c r="X280">
        <v>28</v>
      </c>
      <c r="Y280">
        <v>0</v>
      </c>
      <c r="AA280">
        <v>0</v>
      </c>
      <c r="AB280">
        <v>0</v>
      </c>
    </row>
    <row r="281" spans="1:28" x14ac:dyDescent="0.4">
      <c r="A281">
        <v>282</v>
      </c>
      <c r="B281">
        <v>282</v>
      </c>
      <c r="C281" t="s">
        <v>28</v>
      </c>
      <c r="D281" t="s">
        <v>361</v>
      </c>
      <c r="E281">
        <v>1</v>
      </c>
      <c r="F281">
        <v>1</v>
      </c>
      <c r="G281">
        <v>1</v>
      </c>
      <c r="H281">
        <v>1</v>
      </c>
      <c r="I281">
        <v>0</v>
      </c>
      <c r="J281">
        <v>4</v>
      </c>
      <c r="K281">
        <v>0</v>
      </c>
      <c r="L281">
        <v>1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t="s">
        <v>30</v>
      </c>
      <c r="U281" t="s">
        <v>64</v>
      </c>
      <c r="V281">
        <v>0</v>
      </c>
      <c r="W281">
        <v>2</v>
      </c>
      <c r="X281">
        <v>3</v>
      </c>
      <c r="Y281">
        <v>0</v>
      </c>
      <c r="AA281">
        <v>0</v>
      </c>
      <c r="AB281">
        <v>0</v>
      </c>
    </row>
    <row r="282" spans="1:28" x14ac:dyDescent="0.4">
      <c r="A282">
        <v>283</v>
      </c>
      <c r="B282">
        <v>283</v>
      </c>
      <c r="C282" t="s">
        <v>50</v>
      </c>
      <c r="D282" t="s">
        <v>362</v>
      </c>
      <c r="E282">
        <v>2</v>
      </c>
      <c r="F282">
        <v>3</v>
      </c>
      <c r="G282">
        <v>5</v>
      </c>
      <c r="H282">
        <v>5</v>
      </c>
      <c r="I282">
        <v>0</v>
      </c>
      <c r="J282">
        <v>1</v>
      </c>
      <c r="K282">
        <v>5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 t="s">
        <v>30</v>
      </c>
      <c r="U282" t="s">
        <v>45</v>
      </c>
      <c r="V282">
        <v>1</v>
      </c>
      <c r="W282">
        <v>1</v>
      </c>
      <c r="X282">
        <v>1</v>
      </c>
      <c r="Y282">
        <v>0</v>
      </c>
      <c r="AA282">
        <v>0</v>
      </c>
      <c r="AB282">
        <v>0</v>
      </c>
    </row>
    <row r="283" spans="1:28" x14ac:dyDescent="0.4">
      <c r="A283">
        <v>284</v>
      </c>
      <c r="B283">
        <v>284</v>
      </c>
      <c r="C283" t="s">
        <v>28</v>
      </c>
      <c r="D283" t="s">
        <v>363</v>
      </c>
      <c r="E283">
        <v>1</v>
      </c>
      <c r="F283">
        <v>1</v>
      </c>
      <c r="G283">
        <v>1</v>
      </c>
      <c r="H283">
        <v>16</v>
      </c>
      <c r="I283">
        <v>0</v>
      </c>
      <c r="J283">
        <v>2</v>
      </c>
      <c r="K283">
        <v>0</v>
      </c>
      <c r="L283">
        <v>6</v>
      </c>
      <c r="M283">
        <v>1</v>
      </c>
      <c r="N283">
        <v>0</v>
      </c>
      <c r="O283">
        <v>2</v>
      </c>
      <c r="P283">
        <v>0</v>
      </c>
      <c r="Q283">
        <v>0</v>
      </c>
      <c r="R283">
        <v>1</v>
      </c>
      <c r="S283">
        <v>0</v>
      </c>
      <c r="T283" t="s">
        <v>30</v>
      </c>
      <c r="U283" t="s">
        <v>64</v>
      </c>
      <c r="V283">
        <v>0</v>
      </c>
      <c r="W283">
        <v>1</v>
      </c>
      <c r="X283">
        <v>2</v>
      </c>
      <c r="Y283">
        <v>2</v>
      </c>
      <c r="AA283">
        <v>0</v>
      </c>
      <c r="AB283">
        <v>0</v>
      </c>
    </row>
    <row r="284" spans="1:28" x14ac:dyDescent="0.4">
      <c r="A284">
        <v>285</v>
      </c>
      <c r="B284">
        <v>285</v>
      </c>
      <c r="C284" t="s">
        <v>50</v>
      </c>
      <c r="D284" t="s">
        <v>364</v>
      </c>
      <c r="E284">
        <v>2</v>
      </c>
      <c r="F284">
        <v>3</v>
      </c>
      <c r="G284">
        <v>5</v>
      </c>
      <c r="H284">
        <v>5</v>
      </c>
      <c r="I284">
        <v>0</v>
      </c>
      <c r="J284">
        <v>0</v>
      </c>
      <c r="K284">
        <v>9</v>
      </c>
      <c r="L284">
        <v>0</v>
      </c>
      <c r="M284">
        <v>1</v>
      </c>
      <c r="N284">
        <v>0</v>
      </c>
      <c r="O284">
        <v>2</v>
      </c>
      <c r="P284">
        <v>0</v>
      </c>
      <c r="Q284">
        <v>0</v>
      </c>
      <c r="R284">
        <v>2</v>
      </c>
      <c r="S284">
        <v>0</v>
      </c>
      <c r="T284" t="s">
        <v>30</v>
      </c>
      <c r="U284" t="s">
        <v>64</v>
      </c>
      <c r="V284">
        <v>2</v>
      </c>
      <c r="W284">
        <v>2</v>
      </c>
      <c r="X284">
        <v>2</v>
      </c>
      <c r="Y284">
        <v>1</v>
      </c>
      <c r="AA284">
        <v>0</v>
      </c>
      <c r="AB284">
        <v>0</v>
      </c>
    </row>
    <row r="285" spans="1:28" x14ac:dyDescent="0.4">
      <c r="A285">
        <v>286</v>
      </c>
      <c r="B285">
        <v>286</v>
      </c>
      <c r="C285" t="s">
        <v>50</v>
      </c>
      <c r="D285" t="s">
        <v>365</v>
      </c>
      <c r="E285">
        <v>2</v>
      </c>
      <c r="F285">
        <v>3</v>
      </c>
      <c r="G285">
        <v>5</v>
      </c>
      <c r="H285">
        <v>5</v>
      </c>
      <c r="I285">
        <v>0</v>
      </c>
      <c r="J285">
        <v>0</v>
      </c>
      <c r="K285">
        <v>11</v>
      </c>
      <c r="L285">
        <v>0</v>
      </c>
      <c r="M285">
        <v>1</v>
      </c>
      <c r="N285">
        <v>0</v>
      </c>
      <c r="O285">
        <v>0</v>
      </c>
      <c r="P285">
        <v>0</v>
      </c>
      <c r="Q285">
        <v>0</v>
      </c>
      <c r="R285">
        <v>2</v>
      </c>
      <c r="S285">
        <v>0</v>
      </c>
      <c r="T285" t="s">
        <v>30</v>
      </c>
      <c r="U285" t="s">
        <v>64</v>
      </c>
      <c r="V285">
        <v>2</v>
      </c>
      <c r="W285">
        <v>3</v>
      </c>
      <c r="X285">
        <v>2</v>
      </c>
      <c r="Y285">
        <v>1</v>
      </c>
      <c r="AA285">
        <v>0</v>
      </c>
      <c r="AB285">
        <v>0</v>
      </c>
    </row>
    <row r="286" spans="1:28" x14ac:dyDescent="0.4">
      <c r="A286">
        <v>287</v>
      </c>
      <c r="B286">
        <v>287</v>
      </c>
      <c r="C286" t="s">
        <v>97</v>
      </c>
      <c r="D286" t="s">
        <v>366</v>
      </c>
      <c r="E286">
        <v>7</v>
      </c>
      <c r="F286">
        <v>32</v>
      </c>
      <c r="G286">
        <v>15</v>
      </c>
      <c r="H286">
        <v>17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12</v>
      </c>
      <c r="O286">
        <v>0</v>
      </c>
      <c r="P286">
        <v>0</v>
      </c>
      <c r="Q286">
        <v>0</v>
      </c>
      <c r="R286">
        <v>0</v>
      </c>
      <c r="S286">
        <v>0</v>
      </c>
      <c r="T286" t="s">
        <v>56</v>
      </c>
      <c r="U286" t="s">
        <v>64</v>
      </c>
      <c r="V286">
        <v>0</v>
      </c>
      <c r="W286">
        <v>6</v>
      </c>
      <c r="X286">
        <v>2</v>
      </c>
      <c r="Y286">
        <v>2</v>
      </c>
      <c r="AA286">
        <v>0</v>
      </c>
      <c r="AB286">
        <v>0</v>
      </c>
    </row>
    <row r="287" spans="1:28" x14ac:dyDescent="0.4">
      <c r="A287">
        <v>288</v>
      </c>
      <c r="B287">
        <v>288</v>
      </c>
      <c r="C287" t="s">
        <v>97</v>
      </c>
      <c r="D287" t="s">
        <v>367</v>
      </c>
      <c r="E287">
        <v>7</v>
      </c>
      <c r="F287">
        <v>32</v>
      </c>
      <c r="G287">
        <v>15</v>
      </c>
      <c r="H287">
        <v>17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15</v>
      </c>
      <c r="O287">
        <v>0</v>
      </c>
      <c r="P287">
        <v>0</v>
      </c>
      <c r="Q287">
        <v>0</v>
      </c>
      <c r="R287">
        <v>1</v>
      </c>
      <c r="S287">
        <v>0</v>
      </c>
      <c r="T287" t="s">
        <v>56</v>
      </c>
      <c r="U287" t="s">
        <v>80</v>
      </c>
      <c r="V287">
        <v>0</v>
      </c>
      <c r="W287">
        <v>9</v>
      </c>
      <c r="X287">
        <v>3</v>
      </c>
      <c r="Y287">
        <v>2</v>
      </c>
      <c r="AA287">
        <v>0</v>
      </c>
      <c r="AB287">
        <v>0</v>
      </c>
    </row>
    <row r="288" spans="1:28" x14ac:dyDescent="0.4">
      <c r="A288">
        <v>289</v>
      </c>
      <c r="B288">
        <v>289</v>
      </c>
      <c r="C288" t="s">
        <v>39</v>
      </c>
      <c r="D288" t="s">
        <v>368</v>
      </c>
      <c r="E288">
        <v>1</v>
      </c>
      <c r="F288">
        <v>1</v>
      </c>
      <c r="G288">
        <v>3</v>
      </c>
      <c r="H288">
        <v>3</v>
      </c>
      <c r="I288">
        <v>0</v>
      </c>
      <c r="J288">
        <v>19</v>
      </c>
      <c r="K288">
        <v>0</v>
      </c>
      <c r="L288">
        <v>5</v>
      </c>
      <c r="M288">
        <v>0</v>
      </c>
      <c r="N288">
        <v>0</v>
      </c>
      <c r="O288">
        <v>2</v>
      </c>
      <c r="P288">
        <v>0</v>
      </c>
      <c r="Q288">
        <v>0</v>
      </c>
      <c r="R288">
        <v>3</v>
      </c>
      <c r="S288">
        <v>0</v>
      </c>
      <c r="T288" t="s">
        <v>41</v>
      </c>
      <c r="U288" t="s">
        <v>80</v>
      </c>
      <c r="V288">
        <v>0</v>
      </c>
      <c r="W288">
        <v>16</v>
      </c>
      <c r="X288">
        <v>20</v>
      </c>
      <c r="Y288">
        <v>2</v>
      </c>
      <c r="AA288">
        <v>0</v>
      </c>
      <c r="AB288">
        <v>0</v>
      </c>
    </row>
    <row r="289" spans="1:28" x14ac:dyDescent="0.4">
      <c r="A289">
        <v>290</v>
      </c>
      <c r="B289">
        <v>290</v>
      </c>
      <c r="C289" t="s">
        <v>39</v>
      </c>
      <c r="D289" t="s">
        <v>369</v>
      </c>
      <c r="E289">
        <v>1</v>
      </c>
      <c r="F289">
        <v>1</v>
      </c>
      <c r="G289">
        <v>3</v>
      </c>
      <c r="H289">
        <v>3</v>
      </c>
      <c r="I289">
        <v>0</v>
      </c>
      <c r="J289">
        <v>23</v>
      </c>
      <c r="K289">
        <v>0</v>
      </c>
      <c r="L289">
        <v>6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5</v>
      </c>
      <c r="S289">
        <v>0</v>
      </c>
      <c r="T289" t="s">
        <v>41</v>
      </c>
      <c r="U289" t="s">
        <v>113</v>
      </c>
      <c r="V289">
        <v>0</v>
      </c>
      <c r="W289">
        <v>20</v>
      </c>
      <c r="X289">
        <v>22</v>
      </c>
      <c r="Y289">
        <v>6</v>
      </c>
      <c r="AA289">
        <v>0</v>
      </c>
      <c r="AB289">
        <v>0</v>
      </c>
    </row>
    <row r="290" spans="1:28" x14ac:dyDescent="0.4">
      <c r="A290">
        <v>291</v>
      </c>
      <c r="B290">
        <v>291</v>
      </c>
      <c r="C290" t="s">
        <v>65</v>
      </c>
      <c r="D290" t="s">
        <v>370</v>
      </c>
      <c r="E290">
        <v>3</v>
      </c>
      <c r="F290">
        <v>5</v>
      </c>
      <c r="G290">
        <v>7</v>
      </c>
      <c r="H290">
        <v>7</v>
      </c>
      <c r="I290">
        <v>16</v>
      </c>
      <c r="J290">
        <v>0</v>
      </c>
      <c r="K290">
        <v>0</v>
      </c>
      <c r="L290">
        <v>1</v>
      </c>
      <c r="M290">
        <v>0</v>
      </c>
      <c r="N290">
        <v>4</v>
      </c>
      <c r="O290">
        <v>0</v>
      </c>
      <c r="P290">
        <v>0</v>
      </c>
      <c r="Q290">
        <v>0</v>
      </c>
      <c r="R290">
        <v>2</v>
      </c>
      <c r="S290">
        <v>11</v>
      </c>
      <c r="T290" t="s">
        <v>41</v>
      </c>
      <c r="U290" t="s">
        <v>64</v>
      </c>
      <c r="V290">
        <v>2</v>
      </c>
      <c r="W290">
        <v>4</v>
      </c>
      <c r="X290">
        <v>0</v>
      </c>
      <c r="Y290">
        <v>3</v>
      </c>
      <c r="AA290">
        <v>5</v>
      </c>
      <c r="AB290">
        <v>5</v>
      </c>
    </row>
    <row r="291" spans="1:28" x14ac:dyDescent="0.4">
      <c r="A291">
        <v>292</v>
      </c>
      <c r="B291">
        <v>292</v>
      </c>
      <c r="C291" t="s">
        <v>65</v>
      </c>
      <c r="D291" t="s">
        <v>371</v>
      </c>
      <c r="E291">
        <v>3</v>
      </c>
      <c r="F291">
        <v>5</v>
      </c>
      <c r="G291">
        <v>7</v>
      </c>
      <c r="H291">
        <v>7</v>
      </c>
      <c r="I291">
        <v>16</v>
      </c>
      <c r="J291">
        <v>0</v>
      </c>
      <c r="K291">
        <v>0</v>
      </c>
      <c r="L291">
        <v>2</v>
      </c>
      <c r="M291">
        <v>0</v>
      </c>
      <c r="N291">
        <v>5</v>
      </c>
      <c r="O291">
        <v>0</v>
      </c>
      <c r="P291">
        <v>2</v>
      </c>
      <c r="Q291">
        <v>0</v>
      </c>
      <c r="R291">
        <v>3</v>
      </c>
      <c r="S291">
        <v>12</v>
      </c>
      <c r="T291" t="s">
        <v>41</v>
      </c>
      <c r="U291" t="s">
        <v>80</v>
      </c>
      <c r="V291">
        <v>2</v>
      </c>
      <c r="W291">
        <v>5</v>
      </c>
      <c r="X291">
        <v>0</v>
      </c>
      <c r="Y291">
        <v>3</v>
      </c>
      <c r="AA291">
        <v>6</v>
      </c>
      <c r="AB291">
        <v>5</v>
      </c>
    </row>
    <row r="292" spans="1:28" x14ac:dyDescent="0.4">
      <c r="A292">
        <v>293</v>
      </c>
      <c r="B292">
        <v>293</v>
      </c>
      <c r="C292" t="s">
        <v>28</v>
      </c>
      <c r="D292" t="s">
        <v>372</v>
      </c>
      <c r="E292">
        <v>1</v>
      </c>
      <c r="F292">
        <v>1</v>
      </c>
      <c r="G292">
        <v>1</v>
      </c>
      <c r="H292">
        <v>1</v>
      </c>
      <c r="I292">
        <v>0</v>
      </c>
      <c r="J292">
        <v>1</v>
      </c>
      <c r="K292">
        <v>0</v>
      </c>
      <c r="L292">
        <v>0</v>
      </c>
      <c r="M292">
        <v>1</v>
      </c>
      <c r="N292">
        <v>0</v>
      </c>
      <c r="O292">
        <v>1</v>
      </c>
      <c r="P292">
        <v>0</v>
      </c>
      <c r="Q292">
        <v>0</v>
      </c>
      <c r="R292">
        <v>1</v>
      </c>
      <c r="S292">
        <v>0</v>
      </c>
      <c r="T292" t="s">
        <v>30</v>
      </c>
      <c r="U292" t="s">
        <v>45</v>
      </c>
      <c r="V292">
        <v>0</v>
      </c>
      <c r="W292">
        <v>1</v>
      </c>
      <c r="X292">
        <v>1</v>
      </c>
      <c r="Y292">
        <v>0</v>
      </c>
      <c r="AA292">
        <v>0</v>
      </c>
      <c r="AB292">
        <v>0</v>
      </c>
    </row>
    <row r="293" spans="1:28" x14ac:dyDescent="0.4">
      <c r="A293">
        <v>294</v>
      </c>
      <c r="B293">
        <v>294</v>
      </c>
      <c r="C293" t="s">
        <v>28</v>
      </c>
      <c r="D293" t="s">
        <v>373</v>
      </c>
      <c r="E293">
        <v>1</v>
      </c>
      <c r="F293">
        <v>1</v>
      </c>
      <c r="G293">
        <v>1</v>
      </c>
      <c r="H293">
        <v>1</v>
      </c>
      <c r="I293">
        <v>0</v>
      </c>
      <c r="J293">
        <v>2</v>
      </c>
      <c r="K293">
        <v>0</v>
      </c>
      <c r="L293">
        <v>1</v>
      </c>
      <c r="M293">
        <v>1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 t="s">
        <v>30</v>
      </c>
      <c r="U293" t="s">
        <v>45</v>
      </c>
      <c r="V293">
        <v>0</v>
      </c>
      <c r="W293">
        <v>1</v>
      </c>
      <c r="X293">
        <v>2</v>
      </c>
      <c r="Y293">
        <v>0</v>
      </c>
      <c r="AA293">
        <v>0</v>
      </c>
      <c r="AB293">
        <v>0</v>
      </c>
    </row>
    <row r="294" spans="1:28" x14ac:dyDescent="0.4">
      <c r="A294">
        <v>295</v>
      </c>
      <c r="B294">
        <v>295</v>
      </c>
      <c r="C294" t="s">
        <v>28</v>
      </c>
      <c r="D294" t="s">
        <v>374</v>
      </c>
      <c r="E294">
        <v>1</v>
      </c>
      <c r="F294">
        <v>1</v>
      </c>
      <c r="G294">
        <v>1</v>
      </c>
      <c r="H294">
        <v>16</v>
      </c>
      <c r="I294">
        <v>0</v>
      </c>
      <c r="J294">
        <v>2</v>
      </c>
      <c r="K294">
        <v>0</v>
      </c>
      <c r="L294">
        <v>8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 t="s">
        <v>30</v>
      </c>
      <c r="U294" t="s">
        <v>64</v>
      </c>
      <c r="V294">
        <v>0</v>
      </c>
      <c r="W294">
        <v>2</v>
      </c>
      <c r="X294">
        <v>2</v>
      </c>
      <c r="Y294">
        <v>2</v>
      </c>
      <c r="AA294">
        <v>0</v>
      </c>
      <c r="AB294">
        <v>0</v>
      </c>
    </row>
    <row r="295" spans="1:28" x14ac:dyDescent="0.4">
      <c r="A295">
        <v>296</v>
      </c>
      <c r="B295">
        <v>296</v>
      </c>
      <c r="C295" t="s">
        <v>28</v>
      </c>
      <c r="D295" t="s">
        <v>375</v>
      </c>
      <c r="E295">
        <v>1</v>
      </c>
      <c r="F295">
        <v>1</v>
      </c>
      <c r="G295">
        <v>1</v>
      </c>
      <c r="H295">
        <v>16</v>
      </c>
      <c r="I295">
        <v>0</v>
      </c>
      <c r="J295">
        <v>3</v>
      </c>
      <c r="K295">
        <v>0</v>
      </c>
      <c r="L295">
        <v>9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 t="s">
        <v>30</v>
      </c>
      <c r="U295" t="s">
        <v>64</v>
      </c>
      <c r="V295">
        <v>0</v>
      </c>
      <c r="W295">
        <v>3</v>
      </c>
      <c r="X295">
        <v>2</v>
      </c>
      <c r="Y295">
        <v>2</v>
      </c>
      <c r="AA295">
        <v>0</v>
      </c>
      <c r="AB295">
        <v>0</v>
      </c>
    </row>
    <row r="296" spans="1:28" x14ac:dyDescent="0.4">
      <c r="A296">
        <v>297</v>
      </c>
      <c r="B296">
        <v>297</v>
      </c>
      <c r="C296" t="s">
        <v>28</v>
      </c>
      <c r="D296" t="s">
        <v>376</v>
      </c>
      <c r="E296">
        <v>1</v>
      </c>
      <c r="F296">
        <v>1</v>
      </c>
      <c r="G296">
        <v>1</v>
      </c>
      <c r="H296">
        <v>1</v>
      </c>
      <c r="I296">
        <v>0</v>
      </c>
      <c r="J296">
        <v>2</v>
      </c>
      <c r="K296">
        <v>0</v>
      </c>
      <c r="L296">
        <v>1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t="s">
        <v>30</v>
      </c>
      <c r="U296" t="s">
        <v>20</v>
      </c>
      <c r="V296">
        <v>0</v>
      </c>
      <c r="W296">
        <v>1</v>
      </c>
      <c r="X296">
        <v>2</v>
      </c>
      <c r="Y296">
        <v>0</v>
      </c>
      <c r="AA296">
        <v>0</v>
      </c>
      <c r="AB296">
        <v>0</v>
      </c>
    </row>
    <row r="297" spans="1:28" x14ac:dyDescent="0.4">
      <c r="A297">
        <v>298</v>
      </c>
      <c r="B297">
        <v>298</v>
      </c>
      <c r="C297" t="s">
        <v>39</v>
      </c>
      <c r="D297" t="s">
        <v>377</v>
      </c>
      <c r="E297">
        <v>1</v>
      </c>
      <c r="F297">
        <v>1</v>
      </c>
      <c r="G297">
        <v>3</v>
      </c>
      <c r="H297">
        <v>3</v>
      </c>
      <c r="I297">
        <v>0</v>
      </c>
      <c r="J297">
        <v>21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0</v>
      </c>
      <c r="R297">
        <v>2</v>
      </c>
      <c r="S297">
        <v>0</v>
      </c>
      <c r="T297" t="s">
        <v>41</v>
      </c>
      <c r="U297" t="s">
        <v>64</v>
      </c>
      <c r="V297">
        <v>0</v>
      </c>
      <c r="W297">
        <v>15</v>
      </c>
      <c r="X297">
        <v>21</v>
      </c>
      <c r="Y297">
        <v>1</v>
      </c>
      <c r="AA297">
        <v>0</v>
      </c>
      <c r="AB297">
        <v>0</v>
      </c>
    </row>
    <row r="298" spans="1:28" x14ac:dyDescent="0.4">
      <c r="A298">
        <v>299</v>
      </c>
      <c r="B298">
        <v>299</v>
      </c>
      <c r="C298" t="s">
        <v>39</v>
      </c>
      <c r="D298" t="s">
        <v>378</v>
      </c>
      <c r="E298">
        <v>1</v>
      </c>
      <c r="F298">
        <v>1</v>
      </c>
      <c r="G298">
        <v>3</v>
      </c>
      <c r="H298">
        <v>3</v>
      </c>
      <c r="I298">
        <v>0</v>
      </c>
      <c r="J298">
        <v>22</v>
      </c>
      <c r="K298">
        <v>0</v>
      </c>
      <c r="L298">
        <v>0</v>
      </c>
      <c r="M298">
        <v>1</v>
      </c>
      <c r="N298">
        <v>0</v>
      </c>
      <c r="O298">
        <v>0</v>
      </c>
      <c r="P298">
        <v>0</v>
      </c>
      <c r="Q298">
        <v>0</v>
      </c>
      <c r="R298">
        <v>4</v>
      </c>
      <c r="S298">
        <v>0</v>
      </c>
      <c r="T298" t="s">
        <v>41</v>
      </c>
      <c r="U298" t="s">
        <v>80</v>
      </c>
      <c r="V298">
        <v>0</v>
      </c>
      <c r="W298">
        <v>15</v>
      </c>
      <c r="X298">
        <v>22</v>
      </c>
      <c r="Y298">
        <v>2</v>
      </c>
      <c r="AA298">
        <v>0</v>
      </c>
      <c r="AB298">
        <v>0</v>
      </c>
    </row>
    <row r="299" spans="1:28" x14ac:dyDescent="0.4">
      <c r="A299">
        <v>300</v>
      </c>
      <c r="B299">
        <v>300</v>
      </c>
      <c r="C299" t="s">
        <v>39</v>
      </c>
      <c r="D299" t="s">
        <v>379</v>
      </c>
      <c r="E299">
        <v>1</v>
      </c>
      <c r="F299">
        <v>1</v>
      </c>
      <c r="G299">
        <v>3</v>
      </c>
      <c r="H299">
        <v>3</v>
      </c>
      <c r="I299">
        <v>0</v>
      </c>
      <c r="J299">
        <v>23</v>
      </c>
      <c r="K299">
        <v>0</v>
      </c>
      <c r="L299">
        <v>7</v>
      </c>
      <c r="M299">
        <v>1</v>
      </c>
      <c r="N299">
        <v>0</v>
      </c>
      <c r="O299">
        <v>2</v>
      </c>
      <c r="P299">
        <v>0</v>
      </c>
      <c r="Q299">
        <v>0</v>
      </c>
      <c r="R299">
        <v>6</v>
      </c>
      <c r="S299">
        <v>0</v>
      </c>
      <c r="T299" t="s">
        <v>41</v>
      </c>
      <c r="U299" t="s">
        <v>113</v>
      </c>
      <c r="V299">
        <v>0</v>
      </c>
      <c r="W299">
        <v>16</v>
      </c>
      <c r="X299">
        <v>23</v>
      </c>
      <c r="Y299">
        <v>4</v>
      </c>
      <c r="AA299">
        <v>0</v>
      </c>
      <c r="AB299">
        <v>0</v>
      </c>
    </row>
    <row r="300" spans="1:28" x14ac:dyDescent="0.4">
      <c r="A300">
        <v>301</v>
      </c>
      <c r="B300">
        <v>301</v>
      </c>
      <c r="C300" t="s">
        <v>88</v>
      </c>
      <c r="D300" t="s">
        <v>380</v>
      </c>
      <c r="E300">
        <v>4</v>
      </c>
      <c r="F300">
        <v>29</v>
      </c>
      <c r="G300">
        <v>21</v>
      </c>
      <c r="H300">
        <v>15</v>
      </c>
      <c r="I300">
        <v>0</v>
      </c>
      <c r="J300">
        <v>0</v>
      </c>
      <c r="K300">
        <v>0</v>
      </c>
      <c r="L300">
        <v>7</v>
      </c>
      <c r="M300">
        <v>0</v>
      </c>
      <c r="N300">
        <v>0</v>
      </c>
      <c r="O300">
        <v>2</v>
      </c>
      <c r="P300">
        <v>0</v>
      </c>
      <c r="Q300">
        <v>0</v>
      </c>
      <c r="R300">
        <v>0</v>
      </c>
      <c r="S300">
        <v>0</v>
      </c>
      <c r="T300" t="s">
        <v>56</v>
      </c>
      <c r="U300" t="s">
        <v>64</v>
      </c>
      <c r="V300">
        <v>0</v>
      </c>
      <c r="W300">
        <v>4</v>
      </c>
      <c r="X300">
        <v>2</v>
      </c>
      <c r="Y300">
        <v>4</v>
      </c>
      <c r="AA300">
        <v>0</v>
      </c>
      <c r="AB300">
        <v>0</v>
      </c>
    </row>
    <row r="301" spans="1:28" x14ac:dyDescent="0.4">
      <c r="A301">
        <v>302</v>
      </c>
      <c r="B301">
        <v>302</v>
      </c>
      <c r="C301" t="s">
        <v>54</v>
      </c>
      <c r="D301" t="s">
        <v>381</v>
      </c>
      <c r="E301">
        <v>3</v>
      </c>
      <c r="F301">
        <v>5</v>
      </c>
      <c r="G301">
        <v>8</v>
      </c>
      <c r="H301">
        <v>8</v>
      </c>
      <c r="I301">
        <v>1</v>
      </c>
      <c r="J301">
        <v>0</v>
      </c>
      <c r="K301">
        <v>8</v>
      </c>
      <c r="L301">
        <v>0</v>
      </c>
      <c r="M301">
        <v>0</v>
      </c>
      <c r="N301">
        <v>9</v>
      </c>
      <c r="O301">
        <v>1</v>
      </c>
      <c r="P301">
        <v>3</v>
      </c>
      <c r="Q301">
        <v>0</v>
      </c>
      <c r="R301">
        <v>2</v>
      </c>
      <c r="S301">
        <v>0</v>
      </c>
      <c r="T301" t="s">
        <v>56</v>
      </c>
      <c r="U301" t="s">
        <v>64</v>
      </c>
      <c r="V301">
        <v>2</v>
      </c>
      <c r="W301">
        <v>3</v>
      </c>
      <c r="X301">
        <v>0</v>
      </c>
      <c r="Y301">
        <v>4</v>
      </c>
      <c r="AA301">
        <v>4</v>
      </c>
      <c r="AB301">
        <v>5</v>
      </c>
    </row>
    <row r="302" spans="1:28" x14ac:dyDescent="0.4">
      <c r="A302">
        <v>303</v>
      </c>
      <c r="B302">
        <v>303</v>
      </c>
      <c r="C302" t="s">
        <v>34</v>
      </c>
      <c r="D302" t="s">
        <v>382</v>
      </c>
      <c r="E302">
        <v>1</v>
      </c>
      <c r="F302">
        <v>1</v>
      </c>
      <c r="G302">
        <v>2</v>
      </c>
      <c r="H302">
        <v>2</v>
      </c>
      <c r="I302">
        <v>0</v>
      </c>
      <c r="J302">
        <v>5</v>
      </c>
      <c r="K302">
        <v>0</v>
      </c>
      <c r="L302">
        <v>4</v>
      </c>
      <c r="M302">
        <v>0</v>
      </c>
      <c r="N302">
        <v>0</v>
      </c>
      <c r="O302">
        <v>1</v>
      </c>
      <c r="P302">
        <v>0</v>
      </c>
      <c r="Q302">
        <v>0</v>
      </c>
      <c r="R302">
        <v>3</v>
      </c>
      <c r="S302">
        <v>0</v>
      </c>
      <c r="T302" t="s">
        <v>36</v>
      </c>
      <c r="U302" t="s">
        <v>64</v>
      </c>
      <c r="V302">
        <v>0</v>
      </c>
      <c r="W302">
        <v>2</v>
      </c>
      <c r="X302">
        <v>3</v>
      </c>
      <c r="Y302">
        <v>1</v>
      </c>
      <c r="AA302">
        <v>0</v>
      </c>
      <c r="AB302">
        <v>0</v>
      </c>
    </row>
    <row r="303" spans="1:28" x14ac:dyDescent="0.4">
      <c r="A303">
        <v>304</v>
      </c>
      <c r="B303">
        <v>304</v>
      </c>
      <c r="C303" t="s">
        <v>68</v>
      </c>
      <c r="D303" t="s">
        <v>383</v>
      </c>
      <c r="E303">
        <v>5</v>
      </c>
      <c r="F303">
        <v>7</v>
      </c>
      <c r="G303">
        <v>10</v>
      </c>
      <c r="H303">
        <v>10</v>
      </c>
      <c r="I303">
        <v>28</v>
      </c>
      <c r="J303">
        <v>0</v>
      </c>
      <c r="K303">
        <v>0</v>
      </c>
      <c r="L303">
        <v>1</v>
      </c>
      <c r="M303">
        <v>0</v>
      </c>
      <c r="N303">
        <v>2</v>
      </c>
      <c r="O303">
        <v>0</v>
      </c>
      <c r="P303">
        <v>4</v>
      </c>
      <c r="Q303">
        <v>0</v>
      </c>
      <c r="R303">
        <v>2</v>
      </c>
      <c r="S303">
        <v>0</v>
      </c>
      <c r="T303" t="s">
        <v>56</v>
      </c>
      <c r="U303" t="s">
        <v>45</v>
      </c>
      <c r="V303">
        <v>1</v>
      </c>
      <c r="W303">
        <v>1</v>
      </c>
      <c r="X303">
        <v>0</v>
      </c>
      <c r="Y303">
        <v>2</v>
      </c>
      <c r="AA303">
        <v>3</v>
      </c>
      <c r="AB303">
        <v>3</v>
      </c>
    </row>
    <row r="304" spans="1:28" x14ac:dyDescent="0.4">
      <c r="A304">
        <v>305</v>
      </c>
      <c r="B304">
        <v>305</v>
      </c>
      <c r="C304" t="s">
        <v>65</v>
      </c>
      <c r="D304" t="s">
        <v>384</v>
      </c>
      <c r="E304">
        <v>3</v>
      </c>
      <c r="F304">
        <v>5</v>
      </c>
      <c r="G304">
        <v>7</v>
      </c>
      <c r="H304">
        <v>7</v>
      </c>
      <c r="I304">
        <v>14</v>
      </c>
      <c r="J304">
        <v>0</v>
      </c>
      <c r="K304">
        <v>0</v>
      </c>
      <c r="L304">
        <v>0</v>
      </c>
      <c r="M304">
        <v>0</v>
      </c>
      <c r="N304">
        <v>9</v>
      </c>
      <c r="O304">
        <v>1</v>
      </c>
      <c r="P304">
        <v>2</v>
      </c>
      <c r="Q304">
        <v>0</v>
      </c>
      <c r="R304">
        <v>2</v>
      </c>
      <c r="S304">
        <v>9</v>
      </c>
      <c r="T304" t="s">
        <v>56</v>
      </c>
      <c r="U304" t="s">
        <v>80</v>
      </c>
      <c r="V304">
        <v>2</v>
      </c>
      <c r="W304">
        <v>5</v>
      </c>
      <c r="X304">
        <v>0</v>
      </c>
      <c r="Y304">
        <v>7</v>
      </c>
      <c r="AA304">
        <v>4</v>
      </c>
      <c r="AB304">
        <v>8</v>
      </c>
    </row>
    <row r="305" spans="1:28" x14ac:dyDescent="0.4">
      <c r="A305">
        <v>306</v>
      </c>
      <c r="B305">
        <v>306</v>
      </c>
      <c r="C305" t="s">
        <v>65</v>
      </c>
      <c r="D305" t="s">
        <v>385</v>
      </c>
      <c r="E305">
        <v>3</v>
      </c>
      <c r="F305">
        <v>5</v>
      </c>
      <c r="G305">
        <v>7</v>
      </c>
      <c r="H305">
        <v>7</v>
      </c>
      <c r="I305">
        <v>14</v>
      </c>
      <c r="J305">
        <v>0</v>
      </c>
      <c r="K305">
        <v>0</v>
      </c>
      <c r="L305">
        <v>0</v>
      </c>
      <c r="M305">
        <v>0</v>
      </c>
      <c r="N305">
        <v>10</v>
      </c>
      <c r="O305">
        <v>1</v>
      </c>
      <c r="P305">
        <v>2</v>
      </c>
      <c r="Q305">
        <v>0</v>
      </c>
      <c r="R305">
        <v>3</v>
      </c>
      <c r="S305">
        <v>10</v>
      </c>
      <c r="T305" t="s">
        <v>41</v>
      </c>
      <c r="U305" t="s">
        <v>113</v>
      </c>
      <c r="V305">
        <v>2</v>
      </c>
      <c r="W305">
        <v>5</v>
      </c>
      <c r="X305">
        <v>0</v>
      </c>
      <c r="Y305">
        <v>7</v>
      </c>
      <c r="AA305">
        <v>4</v>
      </c>
      <c r="AB305">
        <v>8</v>
      </c>
    </row>
    <row r="306" spans="1:28" x14ac:dyDescent="0.4">
      <c r="A306">
        <v>307</v>
      </c>
      <c r="B306">
        <v>307</v>
      </c>
      <c r="C306" t="s">
        <v>72</v>
      </c>
      <c r="D306" t="s">
        <v>386</v>
      </c>
      <c r="E306">
        <v>5</v>
      </c>
      <c r="F306">
        <v>8</v>
      </c>
      <c r="G306">
        <v>12</v>
      </c>
      <c r="H306">
        <v>11</v>
      </c>
      <c r="I306">
        <v>0</v>
      </c>
      <c r="J306">
        <v>2</v>
      </c>
      <c r="K306">
        <v>0</v>
      </c>
      <c r="L306">
        <v>7</v>
      </c>
      <c r="M306">
        <v>1</v>
      </c>
      <c r="N306">
        <v>0</v>
      </c>
      <c r="O306">
        <v>2</v>
      </c>
      <c r="P306">
        <v>6</v>
      </c>
      <c r="Q306">
        <v>0</v>
      </c>
      <c r="R306">
        <v>9</v>
      </c>
      <c r="S306">
        <v>0</v>
      </c>
      <c r="T306" t="s">
        <v>36</v>
      </c>
      <c r="U306" t="s">
        <v>80</v>
      </c>
      <c r="V306">
        <v>0</v>
      </c>
      <c r="W306">
        <v>0</v>
      </c>
      <c r="X306">
        <v>20</v>
      </c>
      <c r="Y306">
        <v>24</v>
      </c>
      <c r="AA306">
        <v>0</v>
      </c>
      <c r="AB306">
        <v>0</v>
      </c>
    </row>
    <row r="307" spans="1:28" x14ac:dyDescent="0.4">
      <c r="A307">
        <v>308</v>
      </c>
      <c r="B307">
        <v>308</v>
      </c>
      <c r="C307" t="s">
        <v>28</v>
      </c>
      <c r="D307" t="s">
        <v>387</v>
      </c>
      <c r="E307">
        <v>1</v>
      </c>
      <c r="F307">
        <v>1</v>
      </c>
      <c r="G307">
        <v>1</v>
      </c>
      <c r="H307">
        <v>16</v>
      </c>
      <c r="I307">
        <v>0</v>
      </c>
      <c r="J307">
        <v>3</v>
      </c>
      <c r="K307">
        <v>0</v>
      </c>
      <c r="L307">
        <v>11</v>
      </c>
      <c r="M307">
        <v>1</v>
      </c>
      <c r="N307">
        <v>0</v>
      </c>
      <c r="O307">
        <v>2</v>
      </c>
      <c r="P307">
        <v>3</v>
      </c>
      <c r="Q307">
        <v>0</v>
      </c>
      <c r="R307">
        <v>6</v>
      </c>
      <c r="S307">
        <v>0</v>
      </c>
      <c r="T307" t="s">
        <v>36</v>
      </c>
      <c r="U307" t="s">
        <v>113</v>
      </c>
      <c r="V307">
        <v>0</v>
      </c>
      <c r="W307">
        <v>2</v>
      </c>
      <c r="X307">
        <v>22</v>
      </c>
      <c r="Y307">
        <v>28</v>
      </c>
      <c r="AA307">
        <v>0</v>
      </c>
      <c r="AB307">
        <v>0</v>
      </c>
    </row>
    <row r="308" spans="1:28" x14ac:dyDescent="0.4">
      <c r="A308">
        <v>309</v>
      </c>
      <c r="B308">
        <v>309</v>
      </c>
      <c r="C308" t="s">
        <v>93</v>
      </c>
      <c r="D308" t="s">
        <v>388</v>
      </c>
      <c r="E308">
        <v>2</v>
      </c>
      <c r="F308">
        <v>4</v>
      </c>
      <c r="G308">
        <v>22</v>
      </c>
      <c r="H308">
        <v>5</v>
      </c>
      <c r="I308">
        <v>0</v>
      </c>
      <c r="J308">
        <v>0</v>
      </c>
      <c r="K308">
        <v>14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1</v>
      </c>
      <c r="S308">
        <v>0</v>
      </c>
      <c r="T308" t="s">
        <v>56</v>
      </c>
      <c r="U308" t="s">
        <v>64</v>
      </c>
      <c r="V308">
        <v>2</v>
      </c>
      <c r="W308">
        <v>8</v>
      </c>
      <c r="X308">
        <v>8</v>
      </c>
      <c r="Y308">
        <v>3</v>
      </c>
      <c r="AA308">
        <v>0</v>
      </c>
      <c r="AB308">
        <v>0</v>
      </c>
    </row>
    <row r="309" spans="1:28" x14ac:dyDescent="0.4">
      <c r="A309">
        <v>310</v>
      </c>
      <c r="B309">
        <v>310</v>
      </c>
      <c r="C309" t="s">
        <v>34</v>
      </c>
      <c r="D309" t="s">
        <v>389</v>
      </c>
      <c r="E309">
        <v>1</v>
      </c>
      <c r="F309">
        <v>1</v>
      </c>
      <c r="G309">
        <v>2</v>
      </c>
      <c r="H309">
        <v>2</v>
      </c>
      <c r="I309">
        <v>0</v>
      </c>
      <c r="J309">
        <v>5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3</v>
      </c>
      <c r="S309">
        <v>0</v>
      </c>
      <c r="T309" t="s">
        <v>36</v>
      </c>
      <c r="U309" t="s">
        <v>45</v>
      </c>
      <c r="V309">
        <v>0</v>
      </c>
      <c r="W309">
        <v>3</v>
      </c>
      <c r="X309">
        <v>2</v>
      </c>
      <c r="Y309">
        <v>1</v>
      </c>
      <c r="AA309">
        <v>0</v>
      </c>
      <c r="AB309">
        <v>0</v>
      </c>
    </row>
    <row r="310" spans="1:28" x14ac:dyDescent="0.4">
      <c r="A310">
        <v>311</v>
      </c>
      <c r="B310">
        <v>311</v>
      </c>
      <c r="C310" t="s">
        <v>390</v>
      </c>
      <c r="D310" t="s">
        <v>391</v>
      </c>
      <c r="E310">
        <v>25</v>
      </c>
      <c r="F310">
        <v>7</v>
      </c>
      <c r="G310">
        <v>49</v>
      </c>
      <c r="H310">
        <v>9</v>
      </c>
      <c r="I310">
        <v>31</v>
      </c>
      <c r="J310">
        <v>0</v>
      </c>
      <c r="K310">
        <v>0</v>
      </c>
      <c r="L310">
        <v>3</v>
      </c>
      <c r="M310">
        <v>0</v>
      </c>
      <c r="N310">
        <v>0</v>
      </c>
      <c r="O310">
        <v>0</v>
      </c>
      <c r="P310">
        <v>8</v>
      </c>
      <c r="Q310">
        <v>0</v>
      </c>
      <c r="R310">
        <v>2</v>
      </c>
      <c r="S310">
        <v>0</v>
      </c>
      <c r="T310" t="s">
        <v>56</v>
      </c>
      <c r="U310" t="s">
        <v>45</v>
      </c>
      <c r="V310">
        <v>4</v>
      </c>
      <c r="W310">
        <v>2</v>
      </c>
      <c r="X310">
        <v>0</v>
      </c>
      <c r="Y310">
        <v>12</v>
      </c>
      <c r="AA310">
        <v>8</v>
      </c>
      <c r="AB310">
        <v>7</v>
      </c>
    </row>
    <row r="311" spans="1:28" x14ac:dyDescent="0.4">
      <c r="A311">
        <v>312</v>
      </c>
      <c r="B311">
        <v>312</v>
      </c>
      <c r="C311" t="s">
        <v>390</v>
      </c>
      <c r="D311" t="s">
        <v>392</v>
      </c>
      <c r="E311">
        <v>25</v>
      </c>
      <c r="F311">
        <v>7</v>
      </c>
      <c r="G311">
        <v>49</v>
      </c>
      <c r="H311">
        <v>9</v>
      </c>
      <c r="I311">
        <v>31</v>
      </c>
      <c r="J311">
        <v>0</v>
      </c>
      <c r="K311">
        <v>0</v>
      </c>
      <c r="L311">
        <v>3</v>
      </c>
      <c r="M311">
        <v>1</v>
      </c>
      <c r="N311">
        <v>0</v>
      </c>
      <c r="O311">
        <v>0</v>
      </c>
      <c r="P311">
        <v>9</v>
      </c>
      <c r="Q311">
        <v>0</v>
      </c>
      <c r="R311">
        <v>3</v>
      </c>
      <c r="S311">
        <v>0</v>
      </c>
      <c r="T311" t="s">
        <v>56</v>
      </c>
      <c r="U311" t="s">
        <v>64</v>
      </c>
      <c r="V311">
        <v>5</v>
      </c>
      <c r="W311">
        <v>2</v>
      </c>
      <c r="X311">
        <v>0</v>
      </c>
      <c r="Y311">
        <v>13</v>
      </c>
      <c r="AA311">
        <v>9</v>
      </c>
      <c r="AB311">
        <v>7</v>
      </c>
    </row>
    <row r="312" spans="1:28" x14ac:dyDescent="0.4">
      <c r="A312">
        <v>313</v>
      </c>
      <c r="B312">
        <v>313</v>
      </c>
      <c r="C312" t="s">
        <v>28</v>
      </c>
      <c r="D312" t="s">
        <v>393</v>
      </c>
      <c r="E312">
        <v>1</v>
      </c>
      <c r="F312">
        <v>1</v>
      </c>
      <c r="G312">
        <v>1</v>
      </c>
      <c r="H312">
        <v>16</v>
      </c>
      <c r="I312">
        <v>0</v>
      </c>
      <c r="J312">
        <v>3</v>
      </c>
      <c r="K312">
        <v>0</v>
      </c>
      <c r="L312">
        <v>7</v>
      </c>
      <c r="M312">
        <v>1</v>
      </c>
      <c r="N312">
        <v>0</v>
      </c>
      <c r="O312">
        <v>2</v>
      </c>
      <c r="P312">
        <v>0</v>
      </c>
      <c r="Q312">
        <v>0</v>
      </c>
      <c r="R312">
        <v>2</v>
      </c>
      <c r="S312">
        <v>0</v>
      </c>
      <c r="T312" t="s">
        <v>30</v>
      </c>
      <c r="U312" t="s">
        <v>80</v>
      </c>
      <c r="V312">
        <v>0</v>
      </c>
      <c r="W312">
        <v>2</v>
      </c>
      <c r="X312">
        <v>2</v>
      </c>
      <c r="Y312">
        <v>3</v>
      </c>
      <c r="AA312">
        <v>0</v>
      </c>
      <c r="AB312">
        <v>0</v>
      </c>
    </row>
    <row r="313" spans="1:28" x14ac:dyDescent="0.4">
      <c r="A313">
        <v>314</v>
      </c>
      <c r="B313">
        <v>314</v>
      </c>
      <c r="C313" t="s">
        <v>50</v>
      </c>
      <c r="D313" t="s">
        <v>394</v>
      </c>
      <c r="E313">
        <v>2</v>
      </c>
      <c r="F313">
        <v>3</v>
      </c>
      <c r="G313">
        <v>5</v>
      </c>
      <c r="H313">
        <v>5</v>
      </c>
      <c r="I313">
        <v>0</v>
      </c>
      <c r="J313">
        <v>1</v>
      </c>
      <c r="K313">
        <v>8</v>
      </c>
      <c r="L313">
        <v>0</v>
      </c>
      <c r="M313">
        <v>1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0</v>
      </c>
      <c r="T313" t="s">
        <v>30</v>
      </c>
      <c r="U313" t="s">
        <v>45</v>
      </c>
      <c r="V313">
        <v>1</v>
      </c>
      <c r="W313">
        <v>3</v>
      </c>
      <c r="X313">
        <v>2</v>
      </c>
      <c r="Y313">
        <v>2</v>
      </c>
      <c r="AA313">
        <v>0</v>
      </c>
      <c r="AB313">
        <v>0</v>
      </c>
    </row>
    <row r="314" spans="1:28" x14ac:dyDescent="0.4">
      <c r="A314">
        <v>315</v>
      </c>
      <c r="B314">
        <v>315</v>
      </c>
      <c r="C314" t="s">
        <v>72</v>
      </c>
      <c r="D314" t="s">
        <v>395</v>
      </c>
      <c r="E314">
        <v>5</v>
      </c>
      <c r="F314">
        <v>8</v>
      </c>
      <c r="G314">
        <v>12</v>
      </c>
      <c r="H314">
        <v>11</v>
      </c>
      <c r="I314">
        <v>0</v>
      </c>
      <c r="J314">
        <v>1</v>
      </c>
      <c r="K314">
        <v>0</v>
      </c>
      <c r="L314">
        <v>3</v>
      </c>
      <c r="M314">
        <v>0</v>
      </c>
      <c r="N314">
        <v>3</v>
      </c>
      <c r="O314">
        <v>6</v>
      </c>
      <c r="P314">
        <v>8</v>
      </c>
      <c r="Q314">
        <v>0</v>
      </c>
      <c r="R314">
        <v>8</v>
      </c>
      <c r="S314">
        <v>0</v>
      </c>
      <c r="T314" t="s">
        <v>36</v>
      </c>
      <c r="U314" t="s">
        <v>64</v>
      </c>
      <c r="V314">
        <v>0</v>
      </c>
      <c r="W314">
        <v>0</v>
      </c>
      <c r="X314">
        <v>15</v>
      </c>
      <c r="Y314">
        <v>20</v>
      </c>
      <c r="AA314">
        <v>0</v>
      </c>
      <c r="AB314">
        <v>0</v>
      </c>
    </row>
    <row r="315" spans="1:28" x14ac:dyDescent="0.4">
      <c r="A315">
        <v>316</v>
      </c>
      <c r="B315">
        <v>316</v>
      </c>
      <c r="C315" t="s">
        <v>65</v>
      </c>
      <c r="D315" t="s">
        <v>396</v>
      </c>
      <c r="E315">
        <v>3</v>
      </c>
      <c r="F315">
        <v>5</v>
      </c>
      <c r="G315">
        <v>7</v>
      </c>
      <c r="H315">
        <v>7</v>
      </c>
      <c r="I315">
        <v>14</v>
      </c>
      <c r="J315">
        <v>3</v>
      </c>
      <c r="K315">
        <v>0</v>
      </c>
      <c r="L315">
        <v>4</v>
      </c>
      <c r="M315">
        <v>0</v>
      </c>
      <c r="N315">
        <v>3</v>
      </c>
      <c r="O315">
        <v>2</v>
      </c>
      <c r="P315">
        <v>0</v>
      </c>
      <c r="Q315">
        <v>0</v>
      </c>
      <c r="R315">
        <v>1</v>
      </c>
      <c r="S315">
        <v>6</v>
      </c>
      <c r="T315" t="s">
        <v>56</v>
      </c>
      <c r="U315" t="s">
        <v>80</v>
      </c>
      <c r="V315">
        <v>1</v>
      </c>
      <c r="W315">
        <v>4</v>
      </c>
      <c r="X315">
        <v>0</v>
      </c>
      <c r="Y315">
        <v>6</v>
      </c>
      <c r="AA315">
        <v>3</v>
      </c>
      <c r="AB315">
        <v>6</v>
      </c>
    </row>
    <row r="316" spans="1:28" x14ac:dyDescent="0.4">
      <c r="A316">
        <v>317</v>
      </c>
      <c r="B316">
        <v>317</v>
      </c>
      <c r="C316" t="s">
        <v>84</v>
      </c>
      <c r="D316" t="s">
        <v>397</v>
      </c>
      <c r="E316">
        <v>4</v>
      </c>
      <c r="F316">
        <v>28</v>
      </c>
      <c r="G316">
        <v>18</v>
      </c>
      <c r="H316">
        <v>12</v>
      </c>
      <c r="I316">
        <v>0</v>
      </c>
      <c r="J316">
        <v>3</v>
      </c>
      <c r="K316">
        <v>0</v>
      </c>
      <c r="L316">
        <v>6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1</v>
      </c>
      <c r="S316">
        <v>0</v>
      </c>
      <c r="T316" t="s">
        <v>56</v>
      </c>
      <c r="U316" t="s">
        <v>80</v>
      </c>
      <c r="V316">
        <v>0</v>
      </c>
      <c r="W316">
        <v>10</v>
      </c>
      <c r="X316">
        <v>6</v>
      </c>
      <c r="Y316">
        <v>4</v>
      </c>
      <c r="AA316">
        <v>0</v>
      </c>
      <c r="AB316">
        <v>0</v>
      </c>
    </row>
    <row r="317" spans="1:28" x14ac:dyDescent="0.4">
      <c r="A317">
        <v>318</v>
      </c>
      <c r="B317">
        <v>318</v>
      </c>
      <c r="C317" t="s">
        <v>39</v>
      </c>
      <c r="D317" t="s">
        <v>398</v>
      </c>
      <c r="E317">
        <v>1</v>
      </c>
      <c r="F317">
        <v>1</v>
      </c>
      <c r="G317">
        <v>3</v>
      </c>
      <c r="H317">
        <v>3</v>
      </c>
      <c r="I317">
        <v>0</v>
      </c>
      <c r="J317">
        <v>21</v>
      </c>
      <c r="K317">
        <v>0</v>
      </c>
      <c r="L317">
        <v>5</v>
      </c>
      <c r="M317">
        <v>2</v>
      </c>
      <c r="N317">
        <v>0</v>
      </c>
      <c r="O317">
        <v>1</v>
      </c>
      <c r="P317">
        <v>0</v>
      </c>
      <c r="Q317">
        <v>0</v>
      </c>
      <c r="R317">
        <v>5</v>
      </c>
      <c r="S317">
        <v>0</v>
      </c>
      <c r="T317" t="s">
        <v>41</v>
      </c>
      <c r="U317" t="s">
        <v>113</v>
      </c>
      <c r="V317">
        <v>0</v>
      </c>
      <c r="W317">
        <v>18</v>
      </c>
      <c r="X317">
        <v>20</v>
      </c>
      <c r="Y317">
        <v>6</v>
      </c>
      <c r="AA317">
        <v>0</v>
      </c>
      <c r="AB317">
        <v>0</v>
      </c>
    </row>
    <row r="318" spans="1:28" x14ac:dyDescent="0.4">
      <c r="A318">
        <v>319</v>
      </c>
      <c r="B318">
        <v>319</v>
      </c>
      <c r="C318" t="s">
        <v>65</v>
      </c>
      <c r="D318" t="s">
        <v>399</v>
      </c>
      <c r="E318">
        <v>3</v>
      </c>
      <c r="F318">
        <v>5</v>
      </c>
      <c r="G318">
        <v>7</v>
      </c>
      <c r="H318">
        <v>7</v>
      </c>
      <c r="I318">
        <v>16</v>
      </c>
      <c r="J318">
        <v>0</v>
      </c>
      <c r="K318">
        <v>0</v>
      </c>
      <c r="L318">
        <v>3</v>
      </c>
      <c r="M318">
        <v>0</v>
      </c>
      <c r="N318">
        <v>2</v>
      </c>
      <c r="O318">
        <v>1</v>
      </c>
      <c r="P318">
        <v>0</v>
      </c>
      <c r="Q318">
        <v>0</v>
      </c>
      <c r="R318">
        <v>1</v>
      </c>
      <c r="S318">
        <v>12</v>
      </c>
      <c r="T318" t="s">
        <v>56</v>
      </c>
      <c r="U318" t="s">
        <v>80</v>
      </c>
      <c r="V318">
        <v>2</v>
      </c>
      <c r="W318">
        <v>5</v>
      </c>
      <c r="X318">
        <v>0</v>
      </c>
      <c r="Y318">
        <v>4</v>
      </c>
      <c r="AA318">
        <v>5</v>
      </c>
      <c r="AB318">
        <v>5</v>
      </c>
    </row>
    <row r="319" spans="1:28" x14ac:dyDescent="0.4">
      <c r="A319">
        <v>320</v>
      </c>
      <c r="B319">
        <v>320</v>
      </c>
      <c r="C319" t="s">
        <v>65</v>
      </c>
      <c r="D319" t="s">
        <v>400</v>
      </c>
      <c r="E319">
        <v>3</v>
      </c>
      <c r="F319">
        <v>5</v>
      </c>
      <c r="G319">
        <v>7</v>
      </c>
      <c r="H319">
        <v>7</v>
      </c>
      <c r="I319">
        <v>16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5</v>
      </c>
      <c r="S319">
        <v>11</v>
      </c>
      <c r="T319" t="s">
        <v>56</v>
      </c>
      <c r="U319" t="s">
        <v>80</v>
      </c>
      <c r="V319">
        <v>2</v>
      </c>
      <c r="W319">
        <v>6</v>
      </c>
      <c r="X319">
        <v>0</v>
      </c>
      <c r="Y319">
        <v>5</v>
      </c>
      <c r="AA319">
        <v>5</v>
      </c>
      <c r="AB319">
        <v>6</v>
      </c>
    </row>
    <row r="320" spans="1:28" x14ac:dyDescent="0.4">
      <c r="A320">
        <v>322</v>
      </c>
      <c r="B320">
        <v>322</v>
      </c>
      <c r="C320" t="s">
        <v>70</v>
      </c>
      <c r="D320" t="s">
        <v>401</v>
      </c>
      <c r="E320">
        <v>5</v>
      </c>
      <c r="F320">
        <v>43</v>
      </c>
      <c r="G320">
        <v>11</v>
      </c>
      <c r="H320">
        <v>10</v>
      </c>
      <c r="I320">
        <v>32</v>
      </c>
      <c r="J320">
        <v>2</v>
      </c>
      <c r="K320">
        <v>0</v>
      </c>
      <c r="L320">
        <v>4</v>
      </c>
      <c r="M320">
        <v>0</v>
      </c>
      <c r="N320">
        <v>6</v>
      </c>
      <c r="O320">
        <v>1</v>
      </c>
      <c r="P320">
        <v>7</v>
      </c>
      <c r="Q320">
        <v>0</v>
      </c>
      <c r="R320">
        <v>2</v>
      </c>
      <c r="S320">
        <v>10</v>
      </c>
      <c r="T320" t="s">
        <v>56</v>
      </c>
      <c r="U320" t="s">
        <v>261</v>
      </c>
      <c r="V320">
        <v>2</v>
      </c>
      <c r="W320">
        <v>3</v>
      </c>
      <c r="X320">
        <v>0</v>
      </c>
      <c r="Y320">
        <v>5</v>
      </c>
      <c r="AA320">
        <v>5</v>
      </c>
      <c r="AB320">
        <v>8</v>
      </c>
    </row>
    <row r="321" spans="1:28" x14ac:dyDescent="0.4">
      <c r="A321">
        <v>323</v>
      </c>
      <c r="B321">
        <v>323</v>
      </c>
      <c r="C321" t="s">
        <v>70</v>
      </c>
      <c r="D321" t="s">
        <v>402</v>
      </c>
      <c r="E321">
        <v>5</v>
      </c>
      <c r="F321">
        <v>43</v>
      </c>
      <c r="G321">
        <v>11</v>
      </c>
      <c r="H321">
        <v>10</v>
      </c>
      <c r="I321">
        <v>32</v>
      </c>
      <c r="J321">
        <v>2</v>
      </c>
      <c r="K321">
        <v>0</v>
      </c>
      <c r="L321">
        <v>5</v>
      </c>
      <c r="M321">
        <v>0</v>
      </c>
      <c r="N321">
        <v>7</v>
      </c>
      <c r="O321">
        <v>3</v>
      </c>
      <c r="P321">
        <v>8</v>
      </c>
      <c r="Q321">
        <v>0</v>
      </c>
      <c r="R321">
        <v>3</v>
      </c>
      <c r="S321">
        <v>11</v>
      </c>
      <c r="T321" t="s">
        <v>56</v>
      </c>
      <c r="U321" t="s">
        <v>403</v>
      </c>
      <c r="V321">
        <v>2</v>
      </c>
      <c r="W321">
        <v>3</v>
      </c>
      <c r="X321">
        <v>0</v>
      </c>
      <c r="Y321">
        <v>5</v>
      </c>
      <c r="AA321">
        <v>5</v>
      </c>
      <c r="AB321">
        <v>8</v>
      </c>
    </row>
    <row r="322" spans="1:28" x14ac:dyDescent="0.4">
      <c r="A322">
        <v>324</v>
      </c>
      <c r="B322">
        <v>324</v>
      </c>
      <c r="C322" t="s">
        <v>127</v>
      </c>
      <c r="D322" t="s">
        <v>404</v>
      </c>
      <c r="E322">
        <v>3</v>
      </c>
      <c r="F322">
        <v>15</v>
      </c>
      <c r="G322">
        <v>25</v>
      </c>
      <c r="H322">
        <v>21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10</v>
      </c>
      <c r="O322">
        <v>0</v>
      </c>
      <c r="P322">
        <v>0</v>
      </c>
      <c r="Q322">
        <v>0</v>
      </c>
      <c r="R322">
        <v>1</v>
      </c>
      <c r="S322">
        <v>0</v>
      </c>
      <c r="T322" t="s">
        <v>56</v>
      </c>
      <c r="U322" t="s">
        <v>80</v>
      </c>
      <c r="V322">
        <v>1</v>
      </c>
      <c r="W322">
        <v>2</v>
      </c>
      <c r="X322">
        <v>0</v>
      </c>
      <c r="Y322">
        <v>4</v>
      </c>
      <c r="AA322">
        <v>0</v>
      </c>
      <c r="AB322">
        <v>0</v>
      </c>
    </row>
    <row r="323" spans="1:28" x14ac:dyDescent="0.4">
      <c r="A323">
        <v>325</v>
      </c>
      <c r="B323">
        <v>325</v>
      </c>
      <c r="C323" t="s">
        <v>127</v>
      </c>
      <c r="D323" t="s">
        <v>405</v>
      </c>
      <c r="E323">
        <v>3</v>
      </c>
      <c r="F323">
        <v>15</v>
      </c>
      <c r="G323">
        <v>25</v>
      </c>
      <c r="H323">
        <v>21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11</v>
      </c>
      <c r="O323">
        <v>0</v>
      </c>
      <c r="P323">
        <v>1</v>
      </c>
      <c r="Q323">
        <v>0</v>
      </c>
      <c r="R323">
        <v>1</v>
      </c>
      <c r="S323">
        <v>0</v>
      </c>
      <c r="T323" t="s">
        <v>56</v>
      </c>
      <c r="U323" t="s">
        <v>113</v>
      </c>
      <c r="V323">
        <v>1</v>
      </c>
      <c r="W323">
        <v>3</v>
      </c>
      <c r="X323">
        <v>0</v>
      </c>
      <c r="Y323">
        <v>4</v>
      </c>
      <c r="AA323">
        <v>0</v>
      </c>
      <c r="AB323">
        <v>0</v>
      </c>
    </row>
    <row r="324" spans="1:28" x14ac:dyDescent="0.4">
      <c r="A324">
        <v>326</v>
      </c>
      <c r="B324">
        <v>326</v>
      </c>
      <c r="C324" t="s">
        <v>127</v>
      </c>
      <c r="D324" t="s">
        <v>406</v>
      </c>
      <c r="E324">
        <v>3</v>
      </c>
      <c r="F324">
        <v>44</v>
      </c>
      <c r="G324">
        <v>25</v>
      </c>
      <c r="H324">
        <v>21</v>
      </c>
      <c r="I324">
        <v>0</v>
      </c>
      <c r="J324">
        <v>2</v>
      </c>
      <c r="K324">
        <v>0</v>
      </c>
      <c r="L324">
        <v>0</v>
      </c>
      <c r="M324">
        <v>0</v>
      </c>
      <c r="N324">
        <v>12</v>
      </c>
      <c r="O324">
        <v>0</v>
      </c>
      <c r="P324">
        <v>3</v>
      </c>
      <c r="Q324">
        <v>0</v>
      </c>
      <c r="R324">
        <v>2</v>
      </c>
      <c r="S324">
        <v>0</v>
      </c>
      <c r="T324" t="s">
        <v>56</v>
      </c>
      <c r="U324" t="s">
        <v>261</v>
      </c>
      <c r="V324">
        <v>2</v>
      </c>
      <c r="W324">
        <v>3</v>
      </c>
      <c r="X324">
        <v>0</v>
      </c>
      <c r="Y324">
        <v>5</v>
      </c>
      <c r="AA324">
        <v>0</v>
      </c>
      <c r="AB324">
        <v>0</v>
      </c>
    </row>
    <row r="325" spans="1:28" x14ac:dyDescent="0.4">
      <c r="A325">
        <v>327</v>
      </c>
      <c r="B325">
        <v>327</v>
      </c>
      <c r="C325" t="s">
        <v>127</v>
      </c>
      <c r="D325" t="s">
        <v>407</v>
      </c>
      <c r="E325">
        <v>3</v>
      </c>
      <c r="F325">
        <v>44</v>
      </c>
      <c r="G325">
        <v>25</v>
      </c>
      <c r="H325">
        <v>21</v>
      </c>
      <c r="I325">
        <v>0</v>
      </c>
      <c r="J325">
        <v>2</v>
      </c>
      <c r="K325">
        <v>0</v>
      </c>
      <c r="L325">
        <v>0</v>
      </c>
      <c r="M325">
        <v>0</v>
      </c>
      <c r="N325">
        <v>13</v>
      </c>
      <c r="O325">
        <v>0</v>
      </c>
      <c r="P325">
        <v>4</v>
      </c>
      <c r="Q325">
        <v>0</v>
      </c>
      <c r="R325">
        <v>3</v>
      </c>
      <c r="S325">
        <v>0</v>
      </c>
      <c r="T325" t="s">
        <v>56</v>
      </c>
      <c r="U325" t="s">
        <v>403</v>
      </c>
      <c r="V325">
        <v>2</v>
      </c>
      <c r="W325">
        <v>3</v>
      </c>
      <c r="X325">
        <v>0</v>
      </c>
      <c r="Y325">
        <v>6</v>
      </c>
      <c r="AA325">
        <v>0</v>
      </c>
      <c r="AB325">
        <v>0</v>
      </c>
    </row>
    <row r="326" spans="1:28" x14ac:dyDescent="0.4">
      <c r="A326">
        <v>328</v>
      </c>
      <c r="B326">
        <v>328</v>
      </c>
      <c r="C326" t="s">
        <v>39</v>
      </c>
      <c r="D326" t="s">
        <v>408</v>
      </c>
      <c r="E326">
        <v>1</v>
      </c>
      <c r="F326">
        <v>1</v>
      </c>
      <c r="G326">
        <v>3</v>
      </c>
      <c r="H326">
        <v>3</v>
      </c>
      <c r="I326">
        <v>0</v>
      </c>
      <c r="J326">
        <v>16</v>
      </c>
      <c r="K326">
        <v>0</v>
      </c>
      <c r="L326">
        <v>4</v>
      </c>
      <c r="M326">
        <v>2</v>
      </c>
      <c r="N326">
        <v>0</v>
      </c>
      <c r="O326">
        <v>2</v>
      </c>
      <c r="P326">
        <v>0</v>
      </c>
      <c r="Q326">
        <v>0</v>
      </c>
      <c r="R326">
        <v>3</v>
      </c>
      <c r="S326">
        <v>0</v>
      </c>
      <c r="T326" t="s">
        <v>41</v>
      </c>
      <c r="U326" t="s">
        <v>64</v>
      </c>
      <c r="V326">
        <v>0</v>
      </c>
      <c r="W326">
        <v>11</v>
      </c>
      <c r="X326">
        <v>16</v>
      </c>
      <c r="Y326">
        <v>1</v>
      </c>
      <c r="AA326">
        <v>0</v>
      </c>
      <c r="AB326">
        <v>0</v>
      </c>
    </row>
    <row r="327" spans="1:28" x14ac:dyDescent="0.4">
      <c r="A327">
        <v>329</v>
      </c>
      <c r="B327">
        <v>329</v>
      </c>
      <c r="C327" t="s">
        <v>39</v>
      </c>
      <c r="D327" t="s">
        <v>409</v>
      </c>
      <c r="E327">
        <v>1</v>
      </c>
      <c r="F327">
        <v>1</v>
      </c>
      <c r="G327">
        <v>3</v>
      </c>
      <c r="H327">
        <v>3</v>
      </c>
      <c r="I327">
        <v>0</v>
      </c>
      <c r="J327">
        <v>17</v>
      </c>
      <c r="K327">
        <v>0</v>
      </c>
      <c r="L327">
        <v>5</v>
      </c>
      <c r="M327">
        <v>2</v>
      </c>
      <c r="N327">
        <v>0</v>
      </c>
      <c r="O327">
        <v>2</v>
      </c>
      <c r="P327">
        <v>0</v>
      </c>
      <c r="Q327">
        <v>0</v>
      </c>
      <c r="R327">
        <v>5</v>
      </c>
      <c r="S327">
        <v>0</v>
      </c>
      <c r="T327" t="s">
        <v>41</v>
      </c>
      <c r="U327" t="s">
        <v>80</v>
      </c>
      <c r="V327">
        <v>0</v>
      </c>
      <c r="W327">
        <v>11</v>
      </c>
      <c r="X327">
        <v>18</v>
      </c>
      <c r="Y327">
        <v>5</v>
      </c>
      <c r="AA327">
        <v>0</v>
      </c>
      <c r="AB327">
        <v>0</v>
      </c>
    </row>
    <row r="328" spans="1:28" x14ac:dyDescent="0.4">
      <c r="A328">
        <v>330</v>
      </c>
      <c r="B328">
        <v>330</v>
      </c>
      <c r="C328" t="s">
        <v>39</v>
      </c>
      <c r="D328" t="s">
        <v>410</v>
      </c>
      <c r="E328">
        <v>1</v>
      </c>
      <c r="F328">
        <v>1</v>
      </c>
      <c r="G328">
        <v>3</v>
      </c>
      <c r="H328">
        <v>3</v>
      </c>
      <c r="I328">
        <v>0</v>
      </c>
      <c r="J328">
        <v>20</v>
      </c>
      <c r="K328">
        <v>0</v>
      </c>
      <c r="L328">
        <v>0</v>
      </c>
      <c r="M328">
        <v>1</v>
      </c>
      <c r="N328">
        <v>0</v>
      </c>
      <c r="O328">
        <v>1</v>
      </c>
      <c r="P328">
        <v>0</v>
      </c>
      <c r="Q328">
        <v>0</v>
      </c>
      <c r="R328">
        <v>1</v>
      </c>
      <c r="S328">
        <v>0</v>
      </c>
      <c r="T328" t="s">
        <v>41</v>
      </c>
      <c r="U328" t="s">
        <v>45</v>
      </c>
      <c r="V328">
        <v>0</v>
      </c>
      <c r="W328">
        <v>12</v>
      </c>
      <c r="X328">
        <v>20</v>
      </c>
      <c r="Y328">
        <v>0</v>
      </c>
      <c r="AA328">
        <v>0</v>
      </c>
      <c r="AB328">
        <v>0</v>
      </c>
    </row>
    <row r="329" spans="1:28" x14ac:dyDescent="0.4">
      <c r="A329">
        <v>331</v>
      </c>
      <c r="B329">
        <v>331</v>
      </c>
      <c r="C329" t="s">
        <v>39</v>
      </c>
      <c r="D329" t="s">
        <v>411</v>
      </c>
      <c r="E329">
        <v>1</v>
      </c>
      <c r="F329">
        <v>1</v>
      </c>
      <c r="G329">
        <v>3</v>
      </c>
      <c r="H329">
        <v>3</v>
      </c>
      <c r="I329">
        <v>0</v>
      </c>
      <c r="J329">
        <v>21</v>
      </c>
      <c r="K329">
        <v>0</v>
      </c>
      <c r="L329">
        <v>2</v>
      </c>
      <c r="M329">
        <v>2</v>
      </c>
      <c r="N329">
        <v>0</v>
      </c>
      <c r="O329">
        <v>1</v>
      </c>
      <c r="P329">
        <v>0</v>
      </c>
      <c r="Q329">
        <v>0</v>
      </c>
      <c r="R329">
        <v>2</v>
      </c>
      <c r="S329">
        <v>0</v>
      </c>
      <c r="T329" t="s">
        <v>41</v>
      </c>
      <c r="U329" t="s">
        <v>64</v>
      </c>
      <c r="V329">
        <v>0</v>
      </c>
      <c r="W329">
        <v>13</v>
      </c>
      <c r="X329">
        <v>21</v>
      </c>
      <c r="Y329">
        <v>2</v>
      </c>
      <c r="AA329">
        <v>0</v>
      </c>
      <c r="AB329">
        <v>0</v>
      </c>
    </row>
    <row r="330" spans="1:28" x14ac:dyDescent="0.4">
      <c r="A330">
        <v>332</v>
      </c>
      <c r="B330">
        <v>332</v>
      </c>
      <c r="C330" t="s">
        <v>39</v>
      </c>
      <c r="D330" t="s">
        <v>412</v>
      </c>
      <c r="E330">
        <v>1</v>
      </c>
      <c r="F330">
        <v>1</v>
      </c>
      <c r="G330">
        <v>3</v>
      </c>
      <c r="H330">
        <v>3</v>
      </c>
      <c r="I330">
        <v>0</v>
      </c>
      <c r="J330">
        <v>21</v>
      </c>
      <c r="K330">
        <v>0</v>
      </c>
      <c r="L330">
        <v>6</v>
      </c>
      <c r="M330">
        <v>2</v>
      </c>
      <c r="N330">
        <v>0</v>
      </c>
      <c r="O330">
        <v>2</v>
      </c>
      <c r="P330">
        <v>0</v>
      </c>
      <c r="Q330">
        <v>0</v>
      </c>
      <c r="R330">
        <v>4</v>
      </c>
      <c r="S330">
        <v>0</v>
      </c>
      <c r="T330" t="s">
        <v>41</v>
      </c>
      <c r="U330" t="s">
        <v>80</v>
      </c>
      <c r="V330">
        <v>0</v>
      </c>
      <c r="W330">
        <v>15</v>
      </c>
      <c r="X330">
        <v>22</v>
      </c>
      <c r="Y330">
        <v>6</v>
      </c>
      <c r="AA330">
        <v>0</v>
      </c>
      <c r="AB330">
        <v>0</v>
      </c>
    </row>
    <row r="331" spans="1:28" x14ac:dyDescent="0.4">
      <c r="A331">
        <v>333</v>
      </c>
      <c r="B331">
        <v>333</v>
      </c>
      <c r="C331" t="s">
        <v>251</v>
      </c>
      <c r="D331" t="s">
        <v>413</v>
      </c>
      <c r="E331">
        <v>22</v>
      </c>
      <c r="F331">
        <v>39</v>
      </c>
      <c r="G331">
        <v>48</v>
      </c>
      <c r="H331">
        <v>38</v>
      </c>
      <c r="I331">
        <v>34</v>
      </c>
      <c r="J331">
        <v>0</v>
      </c>
      <c r="K331">
        <v>0</v>
      </c>
      <c r="L331">
        <v>10</v>
      </c>
      <c r="M331">
        <v>1</v>
      </c>
      <c r="N331">
        <v>0</v>
      </c>
      <c r="O331">
        <v>2</v>
      </c>
      <c r="P331">
        <v>0</v>
      </c>
      <c r="Q331">
        <v>0</v>
      </c>
      <c r="R331">
        <v>6</v>
      </c>
      <c r="S331">
        <v>0</v>
      </c>
      <c r="T331" t="s">
        <v>56</v>
      </c>
      <c r="U331" t="s">
        <v>80</v>
      </c>
      <c r="V331">
        <v>2</v>
      </c>
      <c r="W331">
        <v>4</v>
      </c>
      <c r="X331">
        <v>0</v>
      </c>
      <c r="Y331">
        <v>9</v>
      </c>
      <c r="AA331">
        <v>4</v>
      </c>
      <c r="AB331">
        <v>9</v>
      </c>
    </row>
    <row r="332" spans="1:28" x14ac:dyDescent="0.4">
      <c r="A332">
        <v>334</v>
      </c>
      <c r="B332">
        <v>334</v>
      </c>
      <c r="C332" t="s">
        <v>251</v>
      </c>
      <c r="D332" t="s">
        <v>414</v>
      </c>
      <c r="E332">
        <v>22</v>
      </c>
      <c r="F332">
        <v>39</v>
      </c>
      <c r="G332">
        <v>48</v>
      </c>
      <c r="H332">
        <v>38</v>
      </c>
      <c r="I332">
        <v>34</v>
      </c>
      <c r="J332">
        <v>0</v>
      </c>
      <c r="K332">
        <v>0</v>
      </c>
      <c r="L332">
        <v>11</v>
      </c>
      <c r="M332">
        <v>1</v>
      </c>
      <c r="N332">
        <v>0</v>
      </c>
      <c r="O332">
        <v>3</v>
      </c>
      <c r="P332">
        <v>0</v>
      </c>
      <c r="Q332">
        <v>0</v>
      </c>
      <c r="R332">
        <v>7</v>
      </c>
      <c r="S332">
        <v>0</v>
      </c>
      <c r="T332" t="s">
        <v>56</v>
      </c>
      <c r="U332" t="s">
        <v>113</v>
      </c>
      <c r="V332">
        <v>3</v>
      </c>
      <c r="W332">
        <v>4</v>
      </c>
      <c r="X332">
        <v>0</v>
      </c>
      <c r="Y332">
        <v>9</v>
      </c>
      <c r="AA332">
        <v>4</v>
      </c>
      <c r="AB332">
        <v>9</v>
      </c>
    </row>
    <row r="333" spans="1:28" x14ac:dyDescent="0.4">
      <c r="A333">
        <v>335</v>
      </c>
      <c r="B333">
        <v>335</v>
      </c>
      <c r="C333" t="s">
        <v>59</v>
      </c>
      <c r="D333" t="s">
        <v>415</v>
      </c>
      <c r="E333">
        <v>3</v>
      </c>
      <c r="F333">
        <v>5</v>
      </c>
      <c r="G333">
        <v>6</v>
      </c>
      <c r="H333">
        <v>6</v>
      </c>
      <c r="I333">
        <v>34</v>
      </c>
      <c r="J333">
        <v>1</v>
      </c>
      <c r="K333">
        <v>0</v>
      </c>
      <c r="L333">
        <v>10</v>
      </c>
      <c r="M333">
        <v>1</v>
      </c>
      <c r="N333">
        <v>0</v>
      </c>
      <c r="O333">
        <v>3</v>
      </c>
      <c r="P333">
        <v>0</v>
      </c>
      <c r="Q333">
        <v>0</v>
      </c>
      <c r="R333">
        <v>2</v>
      </c>
      <c r="S333">
        <v>0</v>
      </c>
      <c r="T333" t="s">
        <v>56</v>
      </c>
      <c r="U333" t="s">
        <v>80</v>
      </c>
      <c r="V333">
        <v>3</v>
      </c>
      <c r="W333">
        <v>4</v>
      </c>
      <c r="X333">
        <v>0</v>
      </c>
      <c r="Y333">
        <v>9</v>
      </c>
      <c r="AA333">
        <v>4</v>
      </c>
      <c r="AB333">
        <v>10</v>
      </c>
    </row>
    <row r="334" spans="1:28" x14ac:dyDescent="0.4">
      <c r="A334">
        <v>336</v>
      </c>
      <c r="B334">
        <v>336</v>
      </c>
      <c r="C334" t="s">
        <v>59</v>
      </c>
      <c r="D334" t="s">
        <v>416</v>
      </c>
      <c r="E334">
        <v>3</v>
      </c>
      <c r="F334">
        <v>5</v>
      </c>
      <c r="G334">
        <v>6</v>
      </c>
      <c r="H334">
        <v>6</v>
      </c>
      <c r="I334">
        <v>34</v>
      </c>
      <c r="J334">
        <v>1</v>
      </c>
      <c r="K334">
        <v>0</v>
      </c>
      <c r="L334">
        <v>13</v>
      </c>
      <c r="M334">
        <v>0</v>
      </c>
      <c r="N334">
        <v>0</v>
      </c>
      <c r="O334">
        <v>1</v>
      </c>
      <c r="P334">
        <v>0</v>
      </c>
      <c r="Q334">
        <v>0</v>
      </c>
      <c r="R334">
        <v>2</v>
      </c>
      <c r="S334">
        <v>0</v>
      </c>
      <c r="T334" t="s">
        <v>56</v>
      </c>
      <c r="U334" t="s">
        <v>113</v>
      </c>
      <c r="V334">
        <v>3</v>
      </c>
      <c r="W334">
        <v>3</v>
      </c>
      <c r="X334">
        <v>0</v>
      </c>
      <c r="Y334">
        <v>10</v>
      </c>
      <c r="AA334">
        <v>5</v>
      </c>
      <c r="AB334">
        <v>10</v>
      </c>
    </row>
    <row r="335" spans="1:28" x14ac:dyDescent="0.4">
      <c r="A335">
        <v>337</v>
      </c>
      <c r="B335">
        <v>337</v>
      </c>
      <c r="C335" t="s">
        <v>59</v>
      </c>
      <c r="D335" t="s">
        <v>417</v>
      </c>
      <c r="E335">
        <v>3</v>
      </c>
      <c r="F335">
        <v>5</v>
      </c>
      <c r="G335">
        <v>6</v>
      </c>
      <c r="H335">
        <v>6</v>
      </c>
      <c r="I335">
        <v>34</v>
      </c>
      <c r="J335">
        <v>2</v>
      </c>
      <c r="K335">
        <v>0</v>
      </c>
      <c r="L335">
        <v>14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2</v>
      </c>
      <c r="S335">
        <v>0</v>
      </c>
      <c r="T335" t="s">
        <v>56</v>
      </c>
      <c r="U335" t="s">
        <v>261</v>
      </c>
      <c r="V335">
        <v>3</v>
      </c>
      <c r="W335">
        <v>3</v>
      </c>
      <c r="X335">
        <v>0</v>
      </c>
      <c r="Y335">
        <v>10</v>
      </c>
      <c r="AA335">
        <v>6</v>
      </c>
      <c r="AB335">
        <v>10</v>
      </c>
    </row>
    <row r="336" spans="1:28" x14ac:dyDescent="0.4">
      <c r="A336">
        <v>338</v>
      </c>
      <c r="B336">
        <v>338</v>
      </c>
      <c r="C336" t="s">
        <v>59</v>
      </c>
      <c r="D336" t="s">
        <v>418</v>
      </c>
      <c r="E336">
        <v>3</v>
      </c>
      <c r="F336">
        <v>5</v>
      </c>
      <c r="G336">
        <v>6</v>
      </c>
      <c r="H336">
        <v>45</v>
      </c>
      <c r="I336">
        <v>34</v>
      </c>
      <c r="J336">
        <v>2</v>
      </c>
      <c r="K336">
        <v>0</v>
      </c>
      <c r="L336">
        <v>11</v>
      </c>
      <c r="M336">
        <v>0</v>
      </c>
      <c r="N336">
        <v>0</v>
      </c>
      <c r="O336">
        <v>2</v>
      </c>
      <c r="P336">
        <v>1</v>
      </c>
      <c r="Q336">
        <v>0</v>
      </c>
      <c r="R336">
        <v>0</v>
      </c>
      <c r="S336">
        <v>0</v>
      </c>
      <c r="T336" t="s">
        <v>56</v>
      </c>
      <c r="U336" t="s">
        <v>261</v>
      </c>
      <c r="V336">
        <v>3</v>
      </c>
      <c r="W336">
        <v>3</v>
      </c>
      <c r="X336">
        <v>0</v>
      </c>
      <c r="Y336">
        <v>11</v>
      </c>
      <c r="AA336">
        <v>5</v>
      </c>
      <c r="AB336">
        <v>11</v>
      </c>
    </row>
    <row r="337" spans="1:28" x14ac:dyDescent="0.4">
      <c r="A337">
        <v>339</v>
      </c>
      <c r="B337">
        <v>339</v>
      </c>
      <c r="C337" t="s">
        <v>59</v>
      </c>
      <c r="D337" t="s">
        <v>419</v>
      </c>
      <c r="E337">
        <v>3</v>
      </c>
      <c r="F337">
        <v>5</v>
      </c>
      <c r="G337">
        <v>6</v>
      </c>
      <c r="H337">
        <v>45</v>
      </c>
      <c r="I337">
        <v>34</v>
      </c>
      <c r="J337">
        <v>2</v>
      </c>
      <c r="K337">
        <v>0</v>
      </c>
      <c r="L337">
        <v>12</v>
      </c>
      <c r="M337">
        <v>0</v>
      </c>
      <c r="N337">
        <v>0</v>
      </c>
      <c r="O337">
        <v>3</v>
      </c>
      <c r="P337">
        <v>1</v>
      </c>
      <c r="Q337">
        <v>0</v>
      </c>
      <c r="R337">
        <v>0</v>
      </c>
      <c r="S337">
        <v>0</v>
      </c>
      <c r="T337" t="s">
        <v>56</v>
      </c>
      <c r="U337" t="s">
        <v>403</v>
      </c>
      <c r="V337">
        <v>3</v>
      </c>
      <c r="W337">
        <v>4</v>
      </c>
      <c r="X337">
        <v>0</v>
      </c>
      <c r="Y337">
        <v>11</v>
      </c>
      <c r="AA337">
        <v>6</v>
      </c>
      <c r="AB337">
        <v>11</v>
      </c>
    </row>
    <row r="338" spans="1:28" x14ac:dyDescent="0.4">
      <c r="A338">
        <v>340</v>
      </c>
      <c r="B338">
        <v>340</v>
      </c>
      <c r="C338" t="s">
        <v>34</v>
      </c>
      <c r="D338" t="s">
        <v>420</v>
      </c>
      <c r="E338">
        <v>1</v>
      </c>
      <c r="F338">
        <v>1</v>
      </c>
      <c r="G338">
        <v>2</v>
      </c>
      <c r="H338">
        <v>2</v>
      </c>
      <c r="I338">
        <v>0</v>
      </c>
      <c r="J338">
        <v>8</v>
      </c>
      <c r="K338">
        <v>0</v>
      </c>
      <c r="L338">
        <v>2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 t="s">
        <v>36</v>
      </c>
      <c r="U338" t="s">
        <v>64</v>
      </c>
      <c r="V338">
        <v>0</v>
      </c>
      <c r="W338">
        <v>3</v>
      </c>
      <c r="X338">
        <v>5</v>
      </c>
      <c r="Y338">
        <v>1</v>
      </c>
      <c r="AA338">
        <v>0</v>
      </c>
      <c r="AB338">
        <v>0</v>
      </c>
    </row>
    <row r="339" spans="1:28" x14ac:dyDescent="0.4">
      <c r="A339">
        <v>341</v>
      </c>
      <c r="B339">
        <v>341</v>
      </c>
      <c r="C339" t="s">
        <v>34</v>
      </c>
      <c r="D339" t="s">
        <v>421</v>
      </c>
      <c r="E339">
        <v>1</v>
      </c>
      <c r="F339">
        <v>1</v>
      </c>
      <c r="G339">
        <v>2</v>
      </c>
      <c r="H339">
        <v>2</v>
      </c>
      <c r="I339">
        <v>0</v>
      </c>
      <c r="J339">
        <v>9</v>
      </c>
      <c r="K339">
        <v>0</v>
      </c>
      <c r="L339">
        <v>3</v>
      </c>
      <c r="M339">
        <v>1</v>
      </c>
      <c r="N339">
        <v>0</v>
      </c>
      <c r="O339">
        <v>1</v>
      </c>
      <c r="P339">
        <v>0</v>
      </c>
      <c r="Q339">
        <v>0</v>
      </c>
      <c r="R339">
        <v>2</v>
      </c>
      <c r="S339">
        <v>0</v>
      </c>
      <c r="T339" t="s">
        <v>36</v>
      </c>
      <c r="U339" t="s">
        <v>80</v>
      </c>
      <c r="V339">
        <v>0</v>
      </c>
      <c r="W339">
        <v>4</v>
      </c>
      <c r="X339">
        <v>5</v>
      </c>
      <c r="Y339">
        <v>2</v>
      </c>
      <c r="AA339">
        <v>0</v>
      </c>
      <c r="AB339">
        <v>0</v>
      </c>
    </row>
    <row r="340" spans="1:28" x14ac:dyDescent="0.4">
      <c r="A340">
        <v>342</v>
      </c>
      <c r="B340">
        <v>342</v>
      </c>
      <c r="C340" t="s">
        <v>54</v>
      </c>
      <c r="D340" t="s">
        <v>422</v>
      </c>
      <c r="E340">
        <v>3</v>
      </c>
      <c r="F340">
        <v>5</v>
      </c>
      <c r="G340">
        <v>8</v>
      </c>
      <c r="H340">
        <v>8</v>
      </c>
      <c r="I340">
        <v>33</v>
      </c>
      <c r="J340">
        <v>0</v>
      </c>
      <c r="K340">
        <v>14</v>
      </c>
      <c r="L340">
        <v>2</v>
      </c>
      <c r="M340">
        <v>0</v>
      </c>
      <c r="N340">
        <v>6</v>
      </c>
      <c r="O340">
        <v>0</v>
      </c>
      <c r="P340">
        <v>4</v>
      </c>
      <c r="Q340">
        <v>0</v>
      </c>
      <c r="R340">
        <v>1</v>
      </c>
      <c r="S340">
        <v>0</v>
      </c>
      <c r="T340" t="s">
        <v>56</v>
      </c>
      <c r="U340" t="s">
        <v>113</v>
      </c>
      <c r="V340">
        <v>2</v>
      </c>
      <c r="W340">
        <v>6</v>
      </c>
      <c r="X340">
        <v>0</v>
      </c>
      <c r="Y340">
        <v>11</v>
      </c>
      <c r="AA340">
        <v>6</v>
      </c>
      <c r="AB340">
        <v>9</v>
      </c>
    </row>
    <row r="341" spans="1:28" x14ac:dyDescent="0.4">
      <c r="A341">
        <v>343</v>
      </c>
      <c r="B341">
        <v>343</v>
      </c>
      <c r="C341" t="s">
        <v>54</v>
      </c>
      <c r="D341" t="s">
        <v>423</v>
      </c>
      <c r="E341">
        <v>3</v>
      </c>
      <c r="F341">
        <v>5</v>
      </c>
      <c r="G341">
        <v>8</v>
      </c>
      <c r="H341">
        <v>8</v>
      </c>
      <c r="I341">
        <v>33</v>
      </c>
      <c r="J341">
        <v>0</v>
      </c>
      <c r="K341">
        <v>15</v>
      </c>
      <c r="L341">
        <v>3</v>
      </c>
      <c r="M341">
        <v>0</v>
      </c>
      <c r="N341">
        <v>7</v>
      </c>
      <c r="O341">
        <v>0</v>
      </c>
      <c r="P341">
        <v>6</v>
      </c>
      <c r="Q341">
        <v>0</v>
      </c>
      <c r="R341">
        <v>2</v>
      </c>
      <c r="S341">
        <v>0</v>
      </c>
      <c r="T341" t="s">
        <v>56</v>
      </c>
      <c r="U341" t="s">
        <v>261</v>
      </c>
      <c r="V341">
        <v>2</v>
      </c>
      <c r="W341">
        <v>6</v>
      </c>
      <c r="X341">
        <v>0</v>
      </c>
      <c r="Y341">
        <v>11</v>
      </c>
      <c r="AA341">
        <v>6</v>
      </c>
      <c r="AB341">
        <v>9</v>
      </c>
    </row>
    <row r="342" spans="1:28" x14ac:dyDescent="0.4">
      <c r="A342">
        <v>344</v>
      </c>
      <c r="B342">
        <v>344</v>
      </c>
      <c r="C342" t="s">
        <v>54</v>
      </c>
      <c r="D342" t="s">
        <v>424</v>
      </c>
      <c r="E342">
        <v>3</v>
      </c>
      <c r="F342">
        <v>5</v>
      </c>
      <c r="G342">
        <v>8</v>
      </c>
      <c r="H342">
        <v>46</v>
      </c>
      <c r="I342">
        <v>11</v>
      </c>
      <c r="J342">
        <v>0</v>
      </c>
      <c r="K342">
        <v>7</v>
      </c>
      <c r="L342">
        <v>0</v>
      </c>
      <c r="M342">
        <v>0</v>
      </c>
      <c r="N342">
        <v>6</v>
      </c>
      <c r="O342">
        <v>0</v>
      </c>
      <c r="P342">
        <v>4</v>
      </c>
      <c r="Q342">
        <v>0</v>
      </c>
      <c r="R342">
        <v>1</v>
      </c>
      <c r="S342">
        <v>0</v>
      </c>
      <c r="T342" t="s">
        <v>56</v>
      </c>
      <c r="U342" t="s">
        <v>64</v>
      </c>
      <c r="V342">
        <v>2</v>
      </c>
      <c r="W342">
        <v>4</v>
      </c>
      <c r="X342">
        <v>0</v>
      </c>
      <c r="Y342">
        <v>5</v>
      </c>
      <c r="AA342">
        <v>4</v>
      </c>
      <c r="AB342">
        <v>6</v>
      </c>
    </row>
    <row r="343" spans="1:28" x14ac:dyDescent="0.4">
      <c r="A343">
        <v>345</v>
      </c>
      <c r="B343">
        <v>345</v>
      </c>
      <c r="C343" t="s">
        <v>54</v>
      </c>
      <c r="D343" t="s">
        <v>425</v>
      </c>
      <c r="E343">
        <v>3</v>
      </c>
      <c r="F343">
        <v>5</v>
      </c>
      <c r="G343">
        <v>8</v>
      </c>
      <c r="H343">
        <v>46</v>
      </c>
      <c r="I343">
        <v>11</v>
      </c>
      <c r="J343">
        <v>0</v>
      </c>
      <c r="K343">
        <v>9</v>
      </c>
      <c r="L343">
        <v>0</v>
      </c>
      <c r="M343">
        <v>0</v>
      </c>
      <c r="N343">
        <v>7</v>
      </c>
      <c r="O343">
        <v>0</v>
      </c>
      <c r="P343">
        <v>5</v>
      </c>
      <c r="Q343">
        <v>0</v>
      </c>
      <c r="R343">
        <v>2</v>
      </c>
      <c r="S343">
        <v>0</v>
      </c>
      <c r="T343" t="s">
        <v>56</v>
      </c>
      <c r="U343" t="s">
        <v>80</v>
      </c>
      <c r="V343">
        <v>2</v>
      </c>
      <c r="W343">
        <v>4</v>
      </c>
      <c r="X343">
        <v>0</v>
      </c>
      <c r="Y343">
        <v>5</v>
      </c>
      <c r="AA343">
        <v>4</v>
      </c>
      <c r="AB343">
        <v>6</v>
      </c>
    </row>
    <row r="344" spans="1:28" x14ac:dyDescent="0.4">
      <c r="A344">
        <v>346</v>
      </c>
      <c r="B344">
        <v>346</v>
      </c>
      <c r="C344" t="s">
        <v>97</v>
      </c>
      <c r="D344" t="s">
        <v>426</v>
      </c>
      <c r="E344">
        <v>7</v>
      </c>
      <c r="F344">
        <v>32</v>
      </c>
      <c r="G344">
        <v>15</v>
      </c>
      <c r="H344">
        <v>17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3</v>
      </c>
      <c r="O344">
        <v>1</v>
      </c>
      <c r="P344">
        <v>0</v>
      </c>
      <c r="Q344">
        <v>0</v>
      </c>
      <c r="R344">
        <v>0</v>
      </c>
      <c r="S344">
        <v>0</v>
      </c>
      <c r="T344" t="s">
        <v>56</v>
      </c>
      <c r="U344" t="s">
        <v>64</v>
      </c>
      <c r="V344">
        <v>1</v>
      </c>
      <c r="W344">
        <v>2</v>
      </c>
      <c r="X344">
        <v>1</v>
      </c>
      <c r="Y344">
        <v>1</v>
      </c>
      <c r="AA344">
        <v>0</v>
      </c>
      <c r="AB344">
        <v>0</v>
      </c>
    </row>
    <row r="345" spans="1:28" x14ac:dyDescent="0.4">
      <c r="A345">
        <v>347</v>
      </c>
      <c r="B345">
        <v>347</v>
      </c>
      <c r="C345" t="s">
        <v>97</v>
      </c>
      <c r="D345" t="s">
        <v>427</v>
      </c>
      <c r="E345">
        <v>7</v>
      </c>
      <c r="F345">
        <v>32</v>
      </c>
      <c r="G345">
        <v>15</v>
      </c>
      <c r="H345">
        <v>17</v>
      </c>
      <c r="I345">
        <v>0</v>
      </c>
      <c r="J345">
        <v>0</v>
      </c>
      <c r="K345">
        <v>0</v>
      </c>
      <c r="L345">
        <v>0</v>
      </c>
      <c r="M345">
        <v>-1</v>
      </c>
      <c r="N345">
        <v>7</v>
      </c>
      <c r="O345">
        <v>1</v>
      </c>
      <c r="P345">
        <v>0</v>
      </c>
      <c r="Q345">
        <v>0</v>
      </c>
      <c r="R345">
        <v>0</v>
      </c>
      <c r="S345">
        <v>0</v>
      </c>
      <c r="T345" t="s">
        <v>56</v>
      </c>
      <c r="U345" t="s">
        <v>80</v>
      </c>
      <c r="V345">
        <v>1</v>
      </c>
      <c r="W345">
        <v>4</v>
      </c>
      <c r="X345">
        <v>2</v>
      </c>
      <c r="Y345">
        <v>1</v>
      </c>
      <c r="AA345">
        <v>0</v>
      </c>
      <c r="AB345">
        <v>0</v>
      </c>
    </row>
    <row r="346" spans="1:28" x14ac:dyDescent="0.4">
      <c r="A346">
        <v>348</v>
      </c>
      <c r="B346">
        <v>348</v>
      </c>
      <c r="C346" t="s">
        <v>193</v>
      </c>
      <c r="D346" t="s">
        <v>428</v>
      </c>
      <c r="E346">
        <v>15</v>
      </c>
      <c r="F346">
        <v>26</v>
      </c>
      <c r="G346">
        <v>37</v>
      </c>
      <c r="H346">
        <v>31</v>
      </c>
      <c r="I346">
        <v>0</v>
      </c>
      <c r="J346">
        <v>0</v>
      </c>
      <c r="K346">
        <v>0</v>
      </c>
      <c r="L346">
        <v>0</v>
      </c>
      <c r="M346">
        <v>-2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 t="s">
        <v>56</v>
      </c>
      <c r="U346" t="s">
        <v>80</v>
      </c>
      <c r="V346">
        <v>1</v>
      </c>
      <c r="W346">
        <v>3</v>
      </c>
      <c r="X346">
        <v>1</v>
      </c>
      <c r="Y346">
        <v>1</v>
      </c>
      <c r="AA346">
        <v>0</v>
      </c>
      <c r="AB346">
        <v>0</v>
      </c>
    </row>
    <row r="347" spans="1:28" x14ac:dyDescent="0.4">
      <c r="A347">
        <v>349</v>
      </c>
      <c r="B347">
        <v>349</v>
      </c>
      <c r="C347" t="s">
        <v>193</v>
      </c>
      <c r="D347" t="s">
        <v>429</v>
      </c>
      <c r="E347">
        <v>15</v>
      </c>
      <c r="F347">
        <v>26</v>
      </c>
      <c r="G347">
        <v>37</v>
      </c>
      <c r="H347">
        <v>31</v>
      </c>
      <c r="I347">
        <v>0</v>
      </c>
      <c r="J347">
        <v>1</v>
      </c>
      <c r="K347">
        <v>0</v>
      </c>
      <c r="L347">
        <v>0</v>
      </c>
      <c r="M347">
        <v>-4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 t="s">
        <v>56</v>
      </c>
      <c r="U347" t="s">
        <v>113</v>
      </c>
      <c r="V347">
        <v>1</v>
      </c>
      <c r="W347">
        <v>6</v>
      </c>
      <c r="X347">
        <v>1</v>
      </c>
      <c r="Y347">
        <v>2</v>
      </c>
      <c r="AA347">
        <v>0</v>
      </c>
      <c r="AB347">
        <v>0</v>
      </c>
    </row>
    <row r="348" spans="1:28" x14ac:dyDescent="0.4">
      <c r="A348">
        <v>350</v>
      </c>
      <c r="B348">
        <v>350</v>
      </c>
      <c r="C348" t="s">
        <v>251</v>
      </c>
      <c r="D348" t="s">
        <v>430</v>
      </c>
      <c r="E348">
        <v>22</v>
      </c>
      <c r="F348">
        <v>39</v>
      </c>
      <c r="G348">
        <v>48</v>
      </c>
      <c r="H348">
        <v>38</v>
      </c>
      <c r="I348">
        <v>36</v>
      </c>
      <c r="J348">
        <v>0</v>
      </c>
      <c r="K348">
        <v>0</v>
      </c>
      <c r="L348">
        <v>2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9</v>
      </c>
      <c r="S348">
        <v>0</v>
      </c>
      <c r="T348" t="s">
        <v>56</v>
      </c>
      <c r="U348" t="s">
        <v>80</v>
      </c>
      <c r="V348">
        <v>4</v>
      </c>
      <c r="W348">
        <v>3</v>
      </c>
      <c r="X348">
        <v>1</v>
      </c>
      <c r="Y348">
        <v>6</v>
      </c>
      <c r="AA348">
        <v>1</v>
      </c>
      <c r="AB348">
        <v>4</v>
      </c>
    </row>
    <row r="349" spans="1:28" x14ac:dyDescent="0.4">
      <c r="A349">
        <v>351</v>
      </c>
      <c r="B349">
        <v>351</v>
      </c>
      <c r="C349" t="s">
        <v>251</v>
      </c>
      <c r="D349" t="s">
        <v>431</v>
      </c>
      <c r="E349">
        <v>22</v>
      </c>
      <c r="F349">
        <v>39</v>
      </c>
      <c r="G349">
        <v>48</v>
      </c>
      <c r="H349">
        <v>38</v>
      </c>
      <c r="I349">
        <v>35</v>
      </c>
      <c r="J349">
        <v>0</v>
      </c>
      <c r="K349">
        <v>0</v>
      </c>
      <c r="L349">
        <v>2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8</v>
      </c>
      <c r="S349">
        <v>0</v>
      </c>
      <c r="T349" t="s">
        <v>56</v>
      </c>
      <c r="U349" t="s">
        <v>80</v>
      </c>
      <c r="V349">
        <v>4</v>
      </c>
      <c r="W349">
        <v>3</v>
      </c>
      <c r="X349">
        <v>1</v>
      </c>
      <c r="Y349">
        <v>6</v>
      </c>
      <c r="AA349">
        <v>1</v>
      </c>
      <c r="AB349">
        <v>4</v>
      </c>
    </row>
    <row r="350" spans="1:28" x14ac:dyDescent="0.4">
      <c r="A350">
        <v>352</v>
      </c>
      <c r="B350">
        <v>352</v>
      </c>
      <c r="C350" t="s">
        <v>251</v>
      </c>
      <c r="D350" t="s">
        <v>432</v>
      </c>
      <c r="E350">
        <v>22</v>
      </c>
      <c r="F350">
        <v>39</v>
      </c>
      <c r="G350">
        <v>48</v>
      </c>
      <c r="H350">
        <v>38</v>
      </c>
      <c r="I350">
        <v>36</v>
      </c>
      <c r="J350">
        <v>0</v>
      </c>
      <c r="K350">
        <v>0</v>
      </c>
      <c r="L350">
        <v>3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9</v>
      </c>
      <c r="S350">
        <v>0</v>
      </c>
      <c r="T350" t="s">
        <v>56</v>
      </c>
      <c r="U350" t="s">
        <v>113</v>
      </c>
      <c r="V350">
        <v>4</v>
      </c>
      <c r="W350">
        <v>3</v>
      </c>
      <c r="X350">
        <v>1</v>
      </c>
      <c r="Y350">
        <v>7</v>
      </c>
      <c r="AA350">
        <v>1</v>
      </c>
      <c r="AB350">
        <v>4</v>
      </c>
    </row>
    <row r="351" spans="1:28" x14ac:dyDescent="0.4">
      <c r="A351">
        <v>353</v>
      </c>
      <c r="B351">
        <v>353</v>
      </c>
      <c r="C351" t="s">
        <v>59</v>
      </c>
      <c r="D351" t="s">
        <v>433</v>
      </c>
      <c r="E351">
        <v>3</v>
      </c>
      <c r="F351">
        <v>5</v>
      </c>
      <c r="G351">
        <v>6</v>
      </c>
      <c r="H351">
        <v>6</v>
      </c>
      <c r="I351">
        <v>37</v>
      </c>
      <c r="J351">
        <v>2</v>
      </c>
      <c r="K351">
        <v>0</v>
      </c>
      <c r="L351">
        <v>11</v>
      </c>
      <c r="M351">
        <v>0</v>
      </c>
      <c r="N351">
        <v>0</v>
      </c>
      <c r="O351">
        <v>3</v>
      </c>
      <c r="P351">
        <v>0</v>
      </c>
      <c r="Q351">
        <v>0</v>
      </c>
      <c r="R351">
        <v>1</v>
      </c>
      <c r="S351">
        <v>0</v>
      </c>
      <c r="T351" t="s">
        <v>56</v>
      </c>
      <c r="U351" t="s">
        <v>113</v>
      </c>
      <c r="V351">
        <v>3</v>
      </c>
      <c r="W351">
        <v>3</v>
      </c>
      <c r="X351">
        <v>0</v>
      </c>
      <c r="Y351">
        <v>9</v>
      </c>
      <c r="AA351">
        <v>4</v>
      </c>
      <c r="AB351">
        <v>7</v>
      </c>
    </row>
    <row r="352" spans="1:28" x14ac:dyDescent="0.4">
      <c r="A352">
        <v>354</v>
      </c>
      <c r="B352">
        <v>354</v>
      </c>
      <c r="C352" t="s">
        <v>251</v>
      </c>
      <c r="D352" t="s">
        <v>434</v>
      </c>
      <c r="E352">
        <v>22</v>
      </c>
      <c r="F352">
        <v>39</v>
      </c>
      <c r="G352">
        <v>48</v>
      </c>
      <c r="H352">
        <v>38</v>
      </c>
      <c r="I352">
        <v>37</v>
      </c>
      <c r="J352">
        <v>2</v>
      </c>
      <c r="K352">
        <v>0</v>
      </c>
      <c r="L352">
        <v>12</v>
      </c>
      <c r="M352">
        <v>0</v>
      </c>
      <c r="N352">
        <v>0</v>
      </c>
      <c r="O352">
        <v>3</v>
      </c>
      <c r="P352">
        <v>0</v>
      </c>
      <c r="Q352">
        <v>0</v>
      </c>
      <c r="R352">
        <v>3</v>
      </c>
      <c r="S352">
        <v>0</v>
      </c>
      <c r="T352" t="s">
        <v>56</v>
      </c>
      <c r="U352" t="s">
        <v>113</v>
      </c>
      <c r="V352">
        <v>3</v>
      </c>
      <c r="W352">
        <v>4</v>
      </c>
      <c r="X352">
        <v>0</v>
      </c>
      <c r="Y352">
        <v>9</v>
      </c>
      <c r="AA352">
        <v>3</v>
      </c>
      <c r="AB352">
        <v>8</v>
      </c>
    </row>
    <row r="353" spans="1:28" x14ac:dyDescent="0.4">
      <c r="A353">
        <v>355</v>
      </c>
      <c r="B353">
        <v>355</v>
      </c>
      <c r="C353" t="s">
        <v>125</v>
      </c>
      <c r="D353" t="s">
        <v>435</v>
      </c>
      <c r="E353">
        <v>8</v>
      </c>
      <c r="F353">
        <v>45</v>
      </c>
      <c r="G353">
        <v>24</v>
      </c>
      <c r="H353">
        <v>20</v>
      </c>
      <c r="I353">
        <v>0</v>
      </c>
      <c r="J353">
        <v>2</v>
      </c>
      <c r="K353">
        <v>0</v>
      </c>
      <c r="L353">
        <v>0</v>
      </c>
      <c r="M353">
        <v>0</v>
      </c>
      <c r="N353">
        <v>0</v>
      </c>
      <c r="O353">
        <v>-1</v>
      </c>
      <c r="P353">
        <v>0</v>
      </c>
      <c r="Q353">
        <v>0</v>
      </c>
      <c r="R353">
        <v>0</v>
      </c>
      <c r="S353">
        <v>0</v>
      </c>
      <c r="T353" t="s">
        <v>56</v>
      </c>
      <c r="U353" t="s">
        <v>80</v>
      </c>
      <c r="V353">
        <v>2</v>
      </c>
      <c r="W353">
        <v>6</v>
      </c>
      <c r="X353">
        <v>8</v>
      </c>
      <c r="Y353">
        <v>2</v>
      </c>
      <c r="AA353">
        <v>0</v>
      </c>
      <c r="AB353">
        <v>0</v>
      </c>
    </row>
    <row r="354" spans="1:28" x14ac:dyDescent="0.4">
      <c r="A354">
        <v>356</v>
      </c>
      <c r="B354">
        <v>356</v>
      </c>
      <c r="C354" t="s">
        <v>34</v>
      </c>
      <c r="D354" t="s">
        <v>436</v>
      </c>
      <c r="E354">
        <v>1</v>
      </c>
      <c r="F354">
        <v>1</v>
      </c>
      <c r="G354">
        <v>2</v>
      </c>
      <c r="H354">
        <v>2</v>
      </c>
      <c r="I354">
        <v>0</v>
      </c>
      <c r="J354">
        <v>11</v>
      </c>
      <c r="K354">
        <v>0</v>
      </c>
      <c r="L354">
        <v>1</v>
      </c>
      <c r="M354">
        <v>0</v>
      </c>
      <c r="N354">
        <v>0</v>
      </c>
      <c r="O354">
        <v>-1</v>
      </c>
      <c r="P354">
        <v>0</v>
      </c>
      <c r="Q354">
        <v>0</v>
      </c>
      <c r="R354">
        <v>0</v>
      </c>
      <c r="S354">
        <v>0</v>
      </c>
      <c r="T354" t="s">
        <v>36</v>
      </c>
      <c r="U354" t="s">
        <v>45</v>
      </c>
      <c r="V354">
        <v>0</v>
      </c>
      <c r="W354">
        <v>6</v>
      </c>
      <c r="X354">
        <v>9</v>
      </c>
      <c r="Y354">
        <v>0</v>
      </c>
      <c r="AA354">
        <v>0</v>
      </c>
      <c r="AB354">
        <v>0</v>
      </c>
    </row>
    <row r="355" spans="1:28" x14ac:dyDescent="0.4">
      <c r="A355">
        <v>357</v>
      </c>
      <c r="B355">
        <v>357</v>
      </c>
      <c r="C355" t="s">
        <v>34</v>
      </c>
      <c r="D355" t="s">
        <v>437</v>
      </c>
      <c r="E355">
        <v>1</v>
      </c>
      <c r="F355">
        <v>1</v>
      </c>
      <c r="G355">
        <v>2</v>
      </c>
      <c r="H355">
        <v>2</v>
      </c>
      <c r="I355">
        <v>0</v>
      </c>
      <c r="J355">
        <v>12</v>
      </c>
      <c r="K355">
        <v>0</v>
      </c>
      <c r="L355">
        <v>2</v>
      </c>
      <c r="M355">
        <v>0</v>
      </c>
      <c r="N355">
        <v>0</v>
      </c>
      <c r="O355">
        <v>-1</v>
      </c>
      <c r="P355">
        <v>0</v>
      </c>
      <c r="Q355">
        <v>0</v>
      </c>
      <c r="R355">
        <v>1</v>
      </c>
      <c r="S355">
        <v>0</v>
      </c>
      <c r="T355" t="s">
        <v>36</v>
      </c>
      <c r="U355" t="s">
        <v>64</v>
      </c>
      <c r="V355">
        <v>1</v>
      </c>
      <c r="W355">
        <v>6</v>
      </c>
      <c r="X355">
        <v>1</v>
      </c>
      <c r="Y355">
        <v>2</v>
      </c>
      <c r="AA355">
        <v>0</v>
      </c>
      <c r="AB355">
        <v>0</v>
      </c>
    </row>
    <row r="356" spans="1:28" x14ac:dyDescent="0.4">
      <c r="A356">
        <v>358</v>
      </c>
      <c r="B356">
        <v>358</v>
      </c>
      <c r="C356" t="s">
        <v>46</v>
      </c>
      <c r="D356" t="s">
        <v>438</v>
      </c>
      <c r="E356">
        <v>1</v>
      </c>
      <c r="F356">
        <v>2</v>
      </c>
      <c r="G356">
        <v>4</v>
      </c>
      <c r="H356">
        <v>16</v>
      </c>
      <c r="I356">
        <v>0</v>
      </c>
      <c r="J356">
        <v>2</v>
      </c>
      <c r="K356">
        <v>0</v>
      </c>
      <c r="L356">
        <v>6</v>
      </c>
      <c r="M356">
        <v>1</v>
      </c>
      <c r="N356">
        <v>0</v>
      </c>
      <c r="O356">
        <v>1</v>
      </c>
      <c r="P356">
        <v>0</v>
      </c>
      <c r="Q356">
        <v>0</v>
      </c>
      <c r="R356">
        <v>1</v>
      </c>
      <c r="S356">
        <v>0</v>
      </c>
      <c r="T356" t="s">
        <v>30</v>
      </c>
      <c r="U356" t="s">
        <v>45</v>
      </c>
      <c r="V356">
        <v>0</v>
      </c>
      <c r="W356">
        <v>2</v>
      </c>
      <c r="X356">
        <v>3</v>
      </c>
      <c r="Y356">
        <v>1</v>
      </c>
      <c r="AA356">
        <v>0</v>
      </c>
      <c r="AB356">
        <v>0</v>
      </c>
    </row>
    <row r="357" spans="1:28" x14ac:dyDescent="0.4">
      <c r="A357">
        <v>359</v>
      </c>
      <c r="B357">
        <v>359</v>
      </c>
      <c r="C357" t="s">
        <v>34</v>
      </c>
      <c r="D357" t="s">
        <v>439</v>
      </c>
      <c r="E357">
        <v>1</v>
      </c>
      <c r="F357">
        <v>1</v>
      </c>
      <c r="G357">
        <v>2</v>
      </c>
      <c r="H357">
        <v>2</v>
      </c>
      <c r="I357">
        <v>0</v>
      </c>
      <c r="J357">
        <v>5</v>
      </c>
      <c r="K357">
        <v>0</v>
      </c>
      <c r="L357">
        <v>3</v>
      </c>
      <c r="M357">
        <v>1</v>
      </c>
      <c r="N357">
        <v>0</v>
      </c>
      <c r="O357">
        <v>1</v>
      </c>
      <c r="P357">
        <v>0</v>
      </c>
      <c r="Q357">
        <v>0</v>
      </c>
      <c r="R357">
        <v>2</v>
      </c>
      <c r="S357">
        <v>0</v>
      </c>
      <c r="T357" t="s">
        <v>36</v>
      </c>
      <c r="U357" t="s">
        <v>45</v>
      </c>
      <c r="V357">
        <v>0</v>
      </c>
      <c r="W357">
        <v>2</v>
      </c>
      <c r="X357">
        <v>3</v>
      </c>
      <c r="Y357">
        <v>1</v>
      </c>
      <c r="AA357">
        <v>0</v>
      </c>
      <c r="AB357">
        <v>0</v>
      </c>
    </row>
    <row r="358" spans="1:28" x14ac:dyDescent="0.4">
      <c r="A358">
        <v>360</v>
      </c>
      <c r="B358">
        <v>360</v>
      </c>
      <c r="C358" t="s">
        <v>34</v>
      </c>
      <c r="D358" t="s">
        <v>440</v>
      </c>
      <c r="E358">
        <v>1</v>
      </c>
      <c r="F358">
        <v>1</v>
      </c>
      <c r="G358">
        <v>2</v>
      </c>
      <c r="H358">
        <v>2</v>
      </c>
      <c r="I358">
        <v>0</v>
      </c>
      <c r="J358">
        <v>6</v>
      </c>
      <c r="K358">
        <v>0</v>
      </c>
      <c r="L358">
        <v>5</v>
      </c>
      <c r="M358">
        <v>0</v>
      </c>
      <c r="N358">
        <v>0</v>
      </c>
      <c r="O358">
        <v>2</v>
      </c>
      <c r="P358">
        <v>0</v>
      </c>
      <c r="Q358">
        <v>0</v>
      </c>
      <c r="R358">
        <v>3</v>
      </c>
      <c r="S358">
        <v>0</v>
      </c>
      <c r="T358" t="s">
        <v>36</v>
      </c>
      <c r="U358" t="s">
        <v>64</v>
      </c>
      <c r="V358">
        <v>0</v>
      </c>
      <c r="W358">
        <v>2</v>
      </c>
      <c r="X358">
        <v>3</v>
      </c>
      <c r="Y358">
        <v>1</v>
      </c>
      <c r="AA358">
        <v>0</v>
      </c>
      <c r="AB358">
        <v>0</v>
      </c>
    </row>
    <row r="359" spans="1:28" x14ac:dyDescent="0.4">
      <c r="A359">
        <v>361</v>
      </c>
      <c r="B359">
        <v>361</v>
      </c>
      <c r="C359" t="s">
        <v>34</v>
      </c>
      <c r="D359" t="s">
        <v>441</v>
      </c>
      <c r="E359">
        <v>1</v>
      </c>
      <c r="F359">
        <v>1</v>
      </c>
      <c r="G359">
        <v>2</v>
      </c>
      <c r="H359">
        <v>2</v>
      </c>
      <c r="I359">
        <v>0</v>
      </c>
      <c r="J359">
        <v>7</v>
      </c>
      <c r="K359">
        <v>0</v>
      </c>
      <c r="L359">
        <v>6</v>
      </c>
      <c r="M359">
        <v>-1</v>
      </c>
      <c r="N359">
        <v>0</v>
      </c>
      <c r="O359">
        <v>3</v>
      </c>
      <c r="P359">
        <v>0</v>
      </c>
      <c r="Q359">
        <v>0</v>
      </c>
      <c r="R359">
        <v>3</v>
      </c>
      <c r="S359">
        <v>0</v>
      </c>
      <c r="T359" t="s">
        <v>36</v>
      </c>
      <c r="U359" t="s">
        <v>80</v>
      </c>
      <c r="V359">
        <v>0</v>
      </c>
      <c r="W359">
        <v>3</v>
      </c>
      <c r="X359">
        <v>4</v>
      </c>
      <c r="Y359">
        <v>2</v>
      </c>
      <c r="AA359">
        <v>0</v>
      </c>
      <c r="AB359">
        <v>0</v>
      </c>
    </row>
    <row r="360" spans="1:28" x14ac:dyDescent="0.4">
      <c r="A360">
        <v>362</v>
      </c>
      <c r="B360">
        <v>362</v>
      </c>
      <c r="C360" t="s">
        <v>34</v>
      </c>
      <c r="D360" t="s">
        <v>442</v>
      </c>
      <c r="E360">
        <v>1</v>
      </c>
      <c r="F360">
        <v>1</v>
      </c>
      <c r="G360">
        <v>2</v>
      </c>
      <c r="H360">
        <v>16</v>
      </c>
      <c r="I360">
        <v>0</v>
      </c>
      <c r="J360">
        <v>5</v>
      </c>
      <c r="K360">
        <v>0</v>
      </c>
      <c r="L360">
        <v>11</v>
      </c>
      <c r="M360">
        <v>0</v>
      </c>
      <c r="N360">
        <v>0</v>
      </c>
      <c r="O360">
        <v>2</v>
      </c>
      <c r="P360">
        <v>0</v>
      </c>
      <c r="Q360">
        <v>0</v>
      </c>
      <c r="R360">
        <v>2</v>
      </c>
      <c r="S360">
        <v>0</v>
      </c>
      <c r="T360" t="s">
        <v>36</v>
      </c>
      <c r="U360" t="s">
        <v>80</v>
      </c>
      <c r="V360">
        <v>0</v>
      </c>
      <c r="W360">
        <v>4</v>
      </c>
      <c r="X360">
        <v>6</v>
      </c>
      <c r="Y360">
        <v>4</v>
      </c>
      <c r="AA360">
        <v>0</v>
      </c>
      <c r="AB360">
        <v>0</v>
      </c>
    </row>
    <row r="361" spans="1:28" x14ac:dyDescent="0.4">
      <c r="A361">
        <v>363</v>
      </c>
      <c r="B361">
        <v>363</v>
      </c>
      <c r="C361" t="s">
        <v>34</v>
      </c>
      <c r="D361" t="s">
        <v>443</v>
      </c>
      <c r="E361">
        <v>1</v>
      </c>
      <c r="F361">
        <v>1</v>
      </c>
      <c r="G361">
        <v>2</v>
      </c>
      <c r="H361">
        <v>16</v>
      </c>
      <c r="I361">
        <v>0</v>
      </c>
      <c r="J361">
        <v>6</v>
      </c>
      <c r="K361">
        <v>0</v>
      </c>
      <c r="L361">
        <v>14</v>
      </c>
      <c r="M361">
        <v>0</v>
      </c>
      <c r="N361">
        <v>0</v>
      </c>
      <c r="O361">
        <v>3</v>
      </c>
      <c r="P361">
        <v>3</v>
      </c>
      <c r="Q361">
        <v>0</v>
      </c>
      <c r="R361">
        <v>6</v>
      </c>
      <c r="S361">
        <v>0</v>
      </c>
      <c r="T361" t="s">
        <v>36</v>
      </c>
      <c r="U361" t="s">
        <v>113</v>
      </c>
      <c r="V361">
        <v>0</v>
      </c>
      <c r="W361">
        <v>4</v>
      </c>
      <c r="X361">
        <v>26</v>
      </c>
      <c r="Y361">
        <v>28</v>
      </c>
      <c r="AA361">
        <v>0</v>
      </c>
      <c r="AB361">
        <v>0</v>
      </c>
    </row>
    <row r="362" spans="1:28" x14ac:dyDescent="0.4">
      <c r="A362">
        <v>364</v>
      </c>
      <c r="B362">
        <v>364</v>
      </c>
      <c r="C362" t="s">
        <v>93</v>
      </c>
      <c r="D362" t="s">
        <v>444</v>
      </c>
      <c r="E362">
        <v>2</v>
      </c>
      <c r="F362">
        <v>4</v>
      </c>
      <c r="G362">
        <v>22</v>
      </c>
      <c r="H362">
        <v>5</v>
      </c>
      <c r="I362">
        <v>0</v>
      </c>
      <c r="J362">
        <v>0</v>
      </c>
      <c r="K362">
        <v>17</v>
      </c>
      <c r="L362">
        <v>0</v>
      </c>
      <c r="M362">
        <v>0</v>
      </c>
      <c r="N362">
        <v>0</v>
      </c>
      <c r="O362">
        <v>0</v>
      </c>
      <c r="P362">
        <v>2</v>
      </c>
      <c r="Q362">
        <v>0</v>
      </c>
      <c r="R362">
        <v>2</v>
      </c>
      <c r="S362">
        <v>0</v>
      </c>
      <c r="T362" t="s">
        <v>56</v>
      </c>
      <c r="U362" t="s">
        <v>80</v>
      </c>
      <c r="V362">
        <v>4</v>
      </c>
      <c r="W362">
        <v>9</v>
      </c>
      <c r="X362">
        <v>12</v>
      </c>
      <c r="Y362">
        <v>4</v>
      </c>
      <c r="AA362">
        <v>0</v>
      </c>
      <c r="AB362">
        <v>0</v>
      </c>
    </row>
    <row r="363" spans="1:28" x14ac:dyDescent="0.4">
      <c r="A363">
        <v>365</v>
      </c>
      <c r="B363">
        <v>365</v>
      </c>
      <c r="C363" t="s">
        <v>86</v>
      </c>
      <c r="D363" t="s">
        <v>445</v>
      </c>
      <c r="E363">
        <v>4</v>
      </c>
      <c r="F363">
        <v>25</v>
      </c>
      <c r="G363">
        <v>19</v>
      </c>
      <c r="H363">
        <v>13</v>
      </c>
      <c r="I363">
        <v>0</v>
      </c>
      <c r="J363">
        <v>11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2</v>
      </c>
      <c r="S363">
        <v>0</v>
      </c>
      <c r="T363" t="s">
        <v>56</v>
      </c>
      <c r="U363" t="s">
        <v>80</v>
      </c>
      <c r="V363">
        <v>0</v>
      </c>
      <c r="W363">
        <v>6</v>
      </c>
      <c r="X363">
        <v>10</v>
      </c>
      <c r="Y363">
        <v>1</v>
      </c>
      <c r="AA363">
        <v>0</v>
      </c>
      <c r="AB363">
        <v>0</v>
      </c>
    </row>
    <row r="364" spans="1:28" x14ac:dyDescent="0.4">
      <c r="A364">
        <v>366</v>
      </c>
      <c r="B364">
        <v>366</v>
      </c>
      <c r="C364" t="s">
        <v>28</v>
      </c>
      <c r="D364" t="s">
        <v>446</v>
      </c>
      <c r="E364">
        <v>1</v>
      </c>
      <c r="F364">
        <v>1</v>
      </c>
      <c r="G364">
        <v>1</v>
      </c>
      <c r="H364">
        <v>1</v>
      </c>
      <c r="I364">
        <v>0</v>
      </c>
      <c r="J364">
        <v>3</v>
      </c>
      <c r="K364">
        <v>0</v>
      </c>
      <c r="L364">
        <v>4</v>
      </c>
      <c r="M364">
        <v>1</v>
      </c>
      <c r="N364">
        <v>2</v>
      </c>
      <c r="O364">
        <v>2</v>
      </c>
      <c r="P364">
        <v>0</v>
      </c>
      <c r="Q364">
        <v>0</v>
      </c>
      <c r="R364">
        <v>2</v>
      </c>
      <c r="S364">
        <v>0</v>
      </c>
      <c r="T364" t="s">
        <v>30</v>
      </c>
      <c r="U364" t="s">
        <v>80</v>
      </c>
      <c r="V364">
        <v>0</v>
      </c>
      <c r="W364">
        <v>2</v>
      </c>
      <c r="X364">
        <v>3</v>
      </c>
      <c r="Y364">
        <v>1</v>
      </c>
      <c r="AA364">
        <v>0</v>
      </c>
      <c r="AB364">
        <v>0</v>
      </c>
    </row>
    <row r="365" spans="1:28" x14ac:dyDescent="0.4">
      <c r="A365">
        <v>367</v>
      </c>
      <c r="B365">
        <v>367</v>
      </c>
      <c r="C365" t="s">
        <v>70</v>
      </c>
      <c r="D365" t="s">
        <v>447</v>
      </c>
      <c r="E365">
        <v>5</v>
      </c>
      <c r="F365">
        <v>43</v>
      </c>
      <c r="G365">
        <v>11</v>
      </c>
      <c r="H365">
        <v>10</v>
      </c>
      <c r="I365">
        <v>28</v>
      </c>
      <c r="J365">
        <v>2</v>
      </c>
      <c r="K365">
        <v>5</v>
      </c>
      <c r="L365">
        <v>0</v>
      </c>
      <c r="M365">
        <v>0</v>
      </c>
      <c r="N365">
        <v>4</v>
      </c>
      <c r="O365">
        <v>0</v>
      </c>
      <c r="P365">
        <v>2</v>
      </c>
      <c r="Q365">
        <v>0</v>
      </c>
      <c r="R365">
        <v>1</v>
      </c>
      <c r="S365">
        <v>5</v>
      </c>
      <c r="T365" t="s">
        <v>56</v>
      </c>
      <c r="U365" t="s">
        <v>64</v>
      </c>
      <c r="V365">
        <v>1</v>
      </c>
      <c r="W365">
        <v>2</v>
      </c>
      <c r="X365">
        <v>0</v>
      </c>
      <c r="Y365">
        <v>3</v>
      </c>
      <c r="AA365">
        <v>3</v>
      </c>
      <c r="AB365">
        <v>5</v>
      </c>
    </row>
    <row r="366" spans="1:28" x14ac:dyDescent="0.4">
      <c r="A366">
        <v>368</v>
      </c>
      <c r="B366">
        <v>368</v>
      </c>
      <c r="C366" t="s">
        <v>70</v>
      </c>
      <c r="D366" t="s">
        <v>448</v>
      </c>
      <c r="E366">
        <v>5</v>
      </c>
      <c r="F366">
        <v>43</v>
      </c>
      <c r="G366">
        <v>11</v>
      </c>
      <c r="H366">
        <v>10</v>
      </c>
      <c r="I366">
        <v>28</v>
      </c>
      <c r="J366">
        <v>4</v>
      </c>
      <c r="K366">
        <v>6</v>
      </c>
      <c r="L366">
        <v>0</v>
      </c>
      <c r="M366">
        <v>0</v>
      </c>
      <c r="N366">
        <v>7</v>
      </c>
      <c r="O366">
        <v>0</v>
      </c>
      <c r="P366">
        <v>3</v>
      </c>
      <c r="Q366">
        <v>0</v>
      </c>
      <c r="R366">
        <v>2</v>
      </c>
      <c r="S366">
        <v>7</v>
      </c>
      <c r="T366" t="s">
        <v>56</v>
      </c>
      <c r="U366" t="s">
        <v>80</v>
      </c>
      <c r="V366">
        <v>1</v>
      </c>
      <c r="W366">
        <v>3</v>
      </c>
      <c r="X366">
        <v>0</v>
      </c>
      <c r="Y366">
        <v>3</v>
      </c>
      <c r="AA366">
        <v>3</v>
      </c>
      <c r="AB366">
        <v>6</v>
      </c>
    </row>
    <row r="367" spans="1:28" x14ac:dyDescent="0.4">
      <c r="A367">
        <v>369</v>
      </c>
      <c r="B367">
        <v>369</v>
      </c>
      <c r="C367" t="s">
        <v>70</v>
      </c>
      <c r="D367" t="s">
        <v>449</v>
      </c>
      <c r="E367">
        <v>5</v>
      </c>
      <c r="F367">
        <v>43</v>
      </c>
      <c r="G367">
        <v>11</v>
      </c>
      <c r="H367">
        <v>10</v>
      </c>
      <c r="I367">
        <v>28</v>
      </c>
      <c r="J367">
        <v>4</v>
      </c>
      <c r="K367">
        <v>7</v>
      </c>
      <c r="L367">
        <v>0</v>
      </c>
      <c r="M367">
        <v>0</v>
      </c>
      <c r="N367">
        <v>8</v>
      </c>
      <c r="O367">
        <v>0</v>
      </c>
      <c r="P367">
        <v>4</v>
      </c>
      <c r="Q367">
        <v>0</v>
      </c>
      <c r="R367">
        <v>3</v>
      </c>
      <c r="S367">
        <v>8</v>
      </c>
      <c r="T367" t="s">
        <v>56</v>
      </c>
      <c r="U367" t="s">
        <v>113</v>
      </c>
      <c r="V367">
        <v>1</v>
      </c>
      <c r="W367">
        <v>3</v>
      </c>
      <c r="X367">
        <v>0</v>
      </c>
      <c r="Y367">
        <v>3</v>
      </c>
      <c r="AA367">
        <v>3</v>
      </c>
      <c r="AB367">
        <v>5</v>
      </c>
    </row>
    <row r="368" spans="1:28" x14ac:dyDescent="0.4">
      <c r="A368">
        <v>370</v>
      </c>
      <c r="B368">
        <v>370</v>
      </c>
      <c r="C368" t="s">
        <v>68</v>
      </c>
      <c r="D368" t="s">
        <v>450</v>
      </c>
      <c r="E368">
        <v>5</v>
      </c>
      <c r="F368">
        <v>7</v>
      </c>
      <c r="G368">
        <v>10</v>
      </c>
      <c r="H368">
        <v>10</v>
      </c>
      <c r="I368">
        <v>28</v>
      </c>
      <c r="J368">
        <v>1</v>
      </c>
      <c r="K368">
        <v>0</v>
      </c>
      <c r="L368">
        <v>0</v>
      </c>
      <c r="M368">
        <v>0</v>
      </c>
      <c r="N368">
        <v>6</v>
      </c>
      <c r="O368">
        <v>0</v>
      </c>
      <c r="P368">
        <v>5</v>
      </c>
      <c r="Q368">
        <v>0</v>
      </c>
      <c r="R368">
        <v>2</v>
      </c>
      <c r="S368">
        <v>0</v>
      </c>
      <c r="T368" t="s">
        <v>56</v>
      </c>
      <c r="U368" t="s">
        <v>80</v>
      </c>
      <c r="V368">
        <v>1</v>
      </c>
      <c r="W368">
        <v>2</v>
      </c>
      <c r="X368">
        <v>0</v>
      </c>
      <c r="Y368">
        <v>4</v>
      </c>
      <c r="AA368">
        <v>3</v>
      </c>
      <c r="AB368">
        <v>5</v>
      </c>
    </row>
    <row r="369" spans="1:28" x14ac:dyDescent="0.4">
      <c r="A369">
        <v>371</v>
      </c>
      <c r="B369">
        <v>371</v>
      </c>
      <c r="C369" t="s">
        <v>68</v>
      </c>
      <c r="D369" t="s">
        <v>451</v>
      </c>
      <c r="E369">
        <v>5</v>
      </c>
      <c r="F369">
        <v>7</v>
      </c>
      <c r="G369">
        <v>10</v>
      </c>
      <c r="H369">
        <v>10</v>
      </c>
      <c r="I369">
        <v>28</v>
      </c>
      <c r="J369">
        <v>2</v>
      </c>
      <c r="K369">
        <v>0</v>
      </c>
      <c r="L369">
        <v>1</v>
      </c>
      <c r="M369">
        <v>0</v>
      </c>
      <c r="N369">
        <v>3</v>
      </c>
      <c r="O369">
        <v>1</v>
      </c>
      <c r="P369">
        <v>6</v>
      </c>
      <c r="Q369">
        <v>0</v>
      </c>
      <c r="R369">
        <v>2</v>
      </c>
      <c r="S369">
        <v>0</v>
      </c>
      <c r="T369" t="s">
        <v>56</v>
      </c>
      <c r="U369" t="s">
        <v>80</v>
      </c>
      <c r="V369">
        <v>1</v>
      </c>
      <c r="W369">
        <v>2</v>
      </c>
      <c r="X369">
        <v>0</v>
      </c>
      <c r="Y369">
        <v>4</v>
      </c>
      <c r="AA369">
        <v>3</v>
      </c>
      <c r="AB369">
        <v>6</v>
      </c>
    </row>
    <row r="370" spans="1:28" x14ac:dyDescent="0.4">
      <c r="A370">
        <v>372</v>
      </c>
      <c r="B370">
        <v>372</v>
      </c>
      <c r="C370" t="s">
        <v>54</v>
      </c>
      <c r="D370" t="s">
        <v>452</v>
      </c>
      <c r="E370">
        <v>3</v>
      </c>
      <c r="F370">
        <v>5</v>
      </c>
      <c r="G370">
        <v>8</v>
      </c>
      <c r="H370">
        <v>8</v>
      </c>
      <c r="I370">
        <v>1</v>
      </c>
      <c r="J370">
        <v>0</v>
      </c>
      <c r="K370">
        <v>9</v>
      </c>
      <c r="L370">
        <v>1</v>
      </c>
      <c r="M370">
        <v>0</v>
      </c>
      <c r="N370">
        <v>4</v>
      </c>
      <c r="O370">
        <v>0</v>
      </c>
      <c r="P370">
        <v>2</v>
      </c>
      <c r="Q370">
        <v>0</v>
      </c>
      <c r="R370">
        <v>0</v>
      </c>
      <c r="S370">
        <v>0</v>
      </c>
      <c r="T370" t="s">
        <v>56</v>
      </c>
      <c r="U370" t="s">
        <v>64</v>
      </c>
      <c r="V370">
        <v>2</v>
      </c>
      <c r="W370">
        <v>5</v>
      </c>
      <c r="X370">
        <v>0</v>
      </c>
      <c r="Y370">
        <v>5</v>
      </c>
      <c r="AA370">
        <v>5</v>
      </c>
      <c r="AB370">
        <v>7</v>
      </c>
    </row>
    <row r="371" spans="1:28" x14ac:dyDescent="0.4">
      <c r="A371">
        <v>373</v>
      </c>
      <c r="B371">
        <v>373</v>
      </c>
      <c r="C371" t="s">
        <v>54</v>
      </c>
      <c r="D371" t="s">
        <v>453</v>
      </c>
      <c r="E371">
        <v>3</v>
      </c>
      <c r="F371">
        <v>5</v>
      </c>
      <c r="G371">
        <v>8</v>
      </c>
      <c r="H371">
        <v>46</v>
      </c>
      <c r="I371">
        <v>1</v>
      </c>
      <c r="J371">
        <v>0</v>
      </c>
      <c r="K371">
        <v>11</v>
      </c>
      <c r="L371">
        <v>1</v>
      </c>
      <c r="M371">
        <v>0</v>
      </c>
      <c r="N371">
        <v>6</v>
      </c>
      <c r="O371">
        <v>0</v>
      </c>
      <c r="P371">
        <v>5</v>
      </c>
      <c r="Q371">
        <v>0</v>
      </c>
      <c r="R371">
        <v>1</v>
      </c>
      <c r="S371">
        <v>0</v>
      </c>
      <c r="T371" t="s">
        <v>56</v>
      </c>
      <c r="U371" t="s">
        <v>80</v>
      </c>
      <c r="V371">
        <v>2</v>
      </c>
      <c r="W371">
        <v>5</v>
      </c>
      <c r="X371">
        <v>0</v>
      </c>
      <c r="Y371">
        <v>6</v>
      </c>
      <c r="AA371">
        <v>5</v>
      </c>
      <c r="AB371">
        <v>8</v>
      </c>
    </row>
    <row r="372" spans="1:28" x14ac:dyDescent="0.4">
      <c r="A372">
        <v>374</v>
      </c>
      <c r="B372">
        <v>374</v>
      </c>
      <c r="C372" t="s">
        <v>54</v>
      </c>
      <c r="D372" t="s">
        <v>454</v>
      </c>
      <c r="E372">
        <v>3</v>
      </c>
      <c r="F372">
        <v>5</v>
      </c>
      <c r="G372">
        <v>8</v>
      </c>
      <c r="H372">
        <v>46</v>
      </c>
      <c r="I372">
        <v>1</v>
      </c>
      <c r="J372">
        <v>0</v>
      </c>
      <c r="K372">
        <v>13</v>
      </c>
      <c r="L372">
        <v>1</v>
      </c>
      <c r="M372">
        <v>0</v>
      </c>
      <c r="N372">
        <v>7</v>
      </c>
      <c r="O372">
        <v>0</v>
      </c>
      <c r="P372">
        <v>6</v>
      </c>
      <c r="Q372">
        <v>0</v>
      </c>
      <c r="R372">
        <v>2</v>
      </c>
      <c r="S372">
        <v>0</v>
      </c>
      <c r="T372" t="s">
        <v>56</v>
      </c>
      <c r="U372" t="s">
        <v>113</v>
      </c>
      <c r="V372">
        <v>3</v>
      </c>
      <c r="W372">
        <v>6</v>
      </c>
      <c r="X372">
        <v>0</v>
      </c>
      <c r="Y372">
        <v>6</v>
      </c>
      <c r="AA372">
        <v>6</v>
      </c>
      <c r="AB372">
        <v>8</v>
      </c>
    </row>
    <row r="373" spans="1:28" x14ac:dyDescent="0.4">
      <c r="A373">
        <v>375</v>
      </c>
      <c r="B373">
        <v>375</v>
      </c>
      <c r="C373" t="s">
        <v>59</v>
      </c>
      <c r="D373" t="s">
        <v>455</v>
      </c>
      <c r="E373">
        <v>3</v>
      </c>
      <c r="F373">
        <v>5</v>
      </c>
      <c r="G373">
        <v>6</v>
      </c>
      <c r="H373">
        <v>6</v>
      </c>
      <c r="I373">
        <v>38</v>
      </c>
      <c r="J373">
        <v>0</v>
      </c>
      <c r="K373">
        <v>0</v>
      </c>
      <c r="L373">
        <v>12</v>
      </c>
      <c r="M373">
        <v>0</v>
      </c>
      <c r="N373">
        <v>0</v>
      </c>
      <c r="O373">
        <v>2</v>
      </c>
      <c r="P373">
        <v>1</v>
      </c>
      <c r="Q373">
        <v>0</v>
      </c>
      <c r="R373">
        <v>0</v>
      </c>
      <c r="S373">
        <v>0</v>
      </c>
      <c r="T373" t="s">
        <v>56</v>
      </c>
      <c r="U373" t="s">
        <v>261</v>
      </c>
      <c r="V373">
        <v>3</v>
      </c>
      <c r="W373">
        <v>4</v>
      </c>
      <c r="X373">
        <v>1</v>
      </c>
      <c r="Y373">
        <v>14</v>
      </c>
      <c r="AA373">
        <v>4</v>
      </c>
      <c r="AB373">
        <v>12</v>
      </c>
    </row>
    <row r="374" spans="1:28" x14ac:dyDescent="0.4">
      <c r="A374">
        <v>376</v>
      </c>
      <c r="B374">
        <v>376</v>
      </c>
      <c r="C374" t="s">
        <v>50</v>
      </c>
      <c r="D374" t="s">
        <v>456</v>
      </c>
      <c r="E374">
        <v>2</v>
      </c>
      <c r="F374">
        <v>3</v>
      </c>
      <c r="G374">
        <v>5</v>
      </c>
      <c r="H374">
        <v>5</v>
      </c>
      <c r="I374">
        <v>0</v>
      </c>
      <c r="J374">
        <v>1</v>
      </c>
      <c r="K374">
        <v>11</v>
      </c>
      <c r="L374">
        <v>0</v>
      </c>
      <c r="M374">
        <v>1</v>
      </c>
      <c r="N374">
        <v>0</v>
      </c>
      <c r="O374">
        <v>1</v>
      </c>
      <c r="P374">
        <v>0</v>
      </c>
      <c r="Q374">
        <v>0</v>
      </c>
      <c r="R374">
        <v>0</v>
      </c>
      <c r="S374">
        <v>0</v>
      </c>
      <c r="T374" t="s">
        <v>30</v>
      </c>
      <c r="U374" t="s">
        <v>64</v>
      </c>
      <c r="V374">
        <v>2</v>
      </c>
      <c r="W374">
        <v>4</v>
      </c>
      <c r="X374">
        <v>2</v>
      </c>
      <c r="Y374">
        <v>3</v>
      </c>
      <c r="AA374">
        <v>0</v>
      </c>
      <c r="AB374">
        <v>0</v>
      </c>
    </row>
    <row r="375" spans="1:28" x14ac:dyDescent="0.4">
      <c r="A375">
        <v>377</v>
      </c>
      <c r="B375">
        <v>377</v>
      </c>
      <c r="C375" t="s">
        <v>97</v>
      </c>
      <c r="D375" t="s">
        <v>457</v>
      </c>
      <c r="E375">
        <v>7</v>
      </c>
      <c r="F375">
        <v>32</v>
      </c>
      <c r="G375">
        <v>15</v>
      </c>
      <c r="H375">
        <v>17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17</v>
      </c>
      <c r="O375">
        <v>1</v>
      </c>
      <c r="P375">
        <v>0</v>
      </c>
      <c r="Q375">
        <v>0</v>
      </c>
      <c r="R375">
        <v>1</v>
      </c>
      <c r="S375">
        <v>0</v>
      </c>
      <c r="T375" t="s">
        <v>56</v>
      </c>
      <c r="U375" t="s">
        <v>113</v>
      </c>
      <c r="V375">
        <v>1</v>
      </c>
      <c r="W375">
        <v>10</v>
      </c>
      <c r="X375">
        <v>4</v>
      </c>
      <c r="Y375">
        <v>4</v>
      </c>
      <c r="AA375">
        <v>0</v>
      </c>
      <c r="AB375">
        <v>0</v>
      </c>
    </row>
    <row r="376" spans="1:28" x14ac:dyDescent="0.4">
      <c r="A376">
        <v>378</v>
      </c>
      <c r="B376">
        <v>378</v>
      </c>
      <c r="C376" t="s">
        <v>97</v>
      </c>
      <c r="D376" t="s">
        <v>458</v>
      </c>
      <c r="E376">
        <v>7</v>
      </c>
      <c r="F376">
        <v>32</v>
      </c>
      <c r="G376">
        <v>15</v>
      </c>
      <c r="H376">
        <v>17</v>
      </c>
      <c r="I376">
        <v>0</v>
      </c>
      <c r="J376">
        <v>0</v>
      </c>
      <c r="K376">
        <v>2</v>
      </c>
      <c r="L376">
        <v>0</v>
      </c>
      <c r="M376">
        <v>0</v>
      </c>
      <c r="N376">
        <v>20</v>
      </c>
      <c r="O376">
        <v>0</v>
      </c>
      <c r="P376">
        <v>0</v>
      </c>
      <c r="Q376">
        <v>0</v>
      </c>
      <c r="R376">
        <v>0</v>
      </c>
      <c r="S376">
        <v>0</v>
      </c>
      <c r="T376" t="s">
        <v>56</v>
      </c>
      <c r="U376" t="s">
        <v>261</v>
      </c>
      <c r="V376">
        <v>2</v>
      </c>
      <c r="W376">
        <v>11</v>
      </c>
      <c r="X376">
        <v>2</v>
      </c>
      <c r="Y376">
        <v>5</v>
      </c>
      <c r="AA376">
        <v>0</v>
      </c>
      <c r="AB376">
        <v>0</v>
      </c>
    </row>
    <row r="377" spans="1:28" x14ac:dyDescent="0.4">
      <c r="A377">
        <v>379</v>
      </c>
      <c r="B377">
        <v>379</v>
      </c>
      <c r="C377" t="s">
        <v>28</v>
      </c>
      <c r="D377" t="s">
        <v>459</v>
      </c>
      <c r="E377">
        <v>1</v>
      </c>
      <c r="F377">
        <v>1</v>
      </c>
      <c r="G377">
        <v>1</v>
      </c>
      <c r="H377">
        <v>16</v>
      </c>
      <c r="I377">
        <v>0</v>
      </c>
      <c r="J377">
        <v>1</v>
      </c>
      <c r="K377">
        <v>0</v>
      </c>
      <c r="L377">
        <v>5</v>
      </c>
      <c r="M377">
        <v>0</v>
      </c>
      <c r="N377">
        <v>2</v>
      </c>
      <c r="O377">
        <v>3</v>
      </c>
      <c r="P377">
        <v>0</v>
      </c>
      <c r="Q377">
        <v>0</v>
      </c>
      <c r="R377">
        <v>1</v>
      </c>
      <c r="S377">
        <v>0</v>
      </c>
      <c r="T377" t="s">
        <v>30</v>
      </c>
      <c r="U377" t="s">
        <v>64</v>
      </c>
      <c r="V377">
        <v>0</v>
      </c>
      <c r="W377">
        <v>1</v>
      </c>
      <c r="X377">
        <v>2</v>
      </c>
      <c r="Y377">
        <v>1</v>
      </c>
      <c r="AA377">
        <v>0</v>
      </c>
      <c r="AB377">
        <v>0</v>
      </c>
    </row>
    <row r="378" spans="1:28" x14ac:dyDescent="0.4">
      <c r="A378">
        <v>380</v>
      </c>
      <c r="B378">
        <v>380</v>
      </c>
      <c r="C378" t="s">
        <v>28</v>
      </c>
      <c r="D378" t="s">
        <v>460</v>
      </c>
      <c r="E378">
        <v>1</v>
      </c>
      <c r="F378">
        <v>1</v>
      </c>
      <c r="G378">
        <v>1</v>
      </c>
      <c r="H378">
        <v>16</v>
      </c>
      <c r="I378">
        <v>0</v>
      </c>
      <c r="J378">
        <v>2</v>
      </c>
      <c r="K378">
        <v>0</v>
      </c>
      <c r="L378">
        <v>6</v>
      </c>
      <c r="M378">
        <v>0</v>
      </c>
      <c r="N378">
        <v>2</v>
      </c>
      <c r="O378">
        <v>2</v>
      </c>
      <c r="P378">
        <v>0</v>
      </c>
      <c r="Q378">
        <v>0</v>
      </c>
      <c r="R378">
        <v>1</v>
      </c>
      <c r="S378">
        <v>0</v>
      </c>
      <c r="T378" t="s">
        <v>30</v>
      </c>
      <c r="U378" t="s">
        <v>64</v>
      </c>
      <c r="V378">
        <v>0</v>
      </c>
      <c r="W378">
        <v>2</v>
      </c>
      <c r="X378">
        <v>2</v>
      </c>
      <c r="Y378">
        <v>1</v>
      </c>
      <c r="AA378">
        <v>0</v>
      </c>
      <c r="AB378">
        <v>0</v>
      </c>
    </row>
    <row r="379" spans="1:28" x14ac:dyDescent="0.4">
      <c r="A379">
        <v>381</v>
      </c>
      <c r="B379">
        <v>381</v>
      </c>
      <c r="C379" t="s">
        <v>39</v>
      </c>
      <c r="D379" t="s">
        <v>461</v>
      </c>
      <c r="E379">
        <v>1</v>
      </c>
      <c r="F379">
        <v>1</v>
      </c>
      <c r="G379">
        <v>3</v>
      </c>
      <c r="H379">
        <v>3</v>
      </c>
      <c r="I379">
        <v>0</v>
      </c>
      <c r="J379">
        <v>22</v>
      </c>
      <c r="K379">
        <v>0</v>
      </c>
      <c r="L379">
        <v>2</v>
      </c>
      <c r="M379">
        <v>1</v>
      </c>
      <c r="N379">
        <v>0</v>
      </c>
      <c r="O379">
        <v>0</v>
      </c>
      <c r="P379">
        <v>0</v>
      </c>
      <c r="Q379">
        <v>0</v>
      </c>
      <c r="R379">
        <v>2</v>
      </c>
      <c r="S379">
        <v>0</v>
      </c>
      <c r="T379" t="s">
        <v>41</v>
      </c>
      <c r="U379" t="s">
        <v>64</v>
      </c>
      <c r="V379">
        <v>0</v>
      </c>
      <c r="W379">
        <v>13</v>
      </c>
      <c r="X379">
        <v>22</v>
      </c>
      <c r="Y379">
        <v>2</v>
      </c>
      <c r="AA379">
        <v>0</v>
      </c>
      <c r="AB379">
        <v>0</v>
      </c>
    </row>
    <row r="380" spans="1:28" x14ac:dyDescent="0.4">
      <c r="A380">
        <v>382</v>
      </c>
      <c r="B380">
        <v>382</v>
      </c>
      <c r="C380" t="s">
        <v>28</v>
      </c>
      <c r="D380" t="s">
        <v>462</v>
      </c>
      <c r="E380">
        <v>1</v>
      </c>
      <c r="F380">
        <v>1</v>
      </c>
      <c r="G380">
        <v>1</v>
      </c>
      <c r="H380">
        <v>16</v>
      </c>
      <c r="I380">
        <v>0</v>
      </c>
      <c r="J380">
        <v>1</v>
      </c>
      <c r="K380">
        <v>0</v>
      </c>
      <c r="L380">
        <v>3</v>
      </c>
      <c r="M380">
        <v>0</v>
      </c>
      <c r="N380">
        <v>1</v>
      </c>
      <c r="O380">
        <v>2</v>
      </c>
      <c r="P380">
        <v>0</v>
      </c>
      <c r="Q380">
        <v>0</v>
      </c>
      <c r="R380">
        <v>0</v>
      </c>
      <c r="S380">
        <v>0</v>
      </c>
      <c r="T380" t="s">
        <v>30</v>
      </c>
      <c r="U380" t="s">
        <v>45</v>
      </c>
      <c r="V380">
        <v>0</v>
      </c>
      <c r="W380">
        <v>1</v>
      </c>
      <c r="X380">
        <v>1</v>
      </c>
      <c r="Y380">
        <v>1</v>
      </c>
      <c r="AA380">
        <v>0</v>
      </c>
      <c r="AB380">
        <v>0</v>
      </c>
    </row>
    <row r="381" spans="1:28" x14ac:dyDescent="0.4">
      <c r="A381">
        <v>383</v>
      </c>
      <c r="B381">
        <v>383</v>
      </c>
      <c r="C381" t="s">
        <v>158</v>
      </c>
      <c r="D381" t="s">
        <v>463</v>
      </c>
      <c r="E381">
        <v>2</v>
      </c>
      <c r="F381">
        <v>3</v>
      </c>
      <c r="G381">
        <v>32</v>
      </c>
      <c r="H381">
        <v>5</v>
      </c>
      <c r="I381">
        <v>0</v>
      </c>
      <c r="J381">
        <v>0</v>
      </c>
      <c r="K381">
        <v>19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3</v>
      </c>
      <c r="S381">
        <v>0</v>
      </c>
      <c r="T381" t="s">
        <v>30</v>
      </c>
      <c r="U381" t="s">
        <v>80</v>
      </c>
      <c r="V381">
        <v>3</v>
      </c>
      <c r="W381">
        <v>4</v>
      </c>
      <c r="X381">
        <v>3</v>
      </c>
      <c r="Y381">
        <v>1</v>
      </c>
      <c r="AA381">
        <v>0</v>
      </c>
      <c r="AB381">
        <v>0</v>
      </c>
    </row>
    <row r="382" spans="1:28" x14ac:dyDescent="0.4">
      <c r="A382">
        <v>384</v>
      </c>
      <c r="B382">
        <v>384</v>
      </c>
      <c r="C382" t="s">
        <v>290</v>
      </c>
      <c r="D382" t="s">
        <v>464</v>
      </c>
      <c r="E382">
        <v>24</v>
      </c>
      <c r="F382">
        <v>42</v>
      </c>
      <c r="G382">
        <v>51</v>
      </c>
      <c r="H382">
        <v>42</v>
      </c>
      <c r="I382">
        <v>0</v>
      </c>
      <c r="J382">
        <v>2</v>
      </c>
      <c r="K382">
        <v>4</v>
      </c>
      <c r="L382">
        <v>0</v>
      </c>
      <c r="M382">
        <v>1</v>
      </c>
      <c r="N382">
        <v>0</v>
      </c>
      <c r="O382">
        <v>13</v>
      </c>
      <c r="P382">
        <v>7</v>
      </c>
      <c r="Q382">
        <v>0</v>
      </c>
      <c r="R382">
        <v>4</v>
      </c>
      <c r="S382">
        <v>0</v>
      </c>
      <c r="T382" t="s">
        <v>56</v>
      </c>
      <c r="U382" t="s">
        <v>113</v>
      </c>
      <c r="V382">
        <v>0</v>
      </c>
      <c r="W382">
        <v>0</v>
      </c>
      <c r="X382">
        <v>14</v>
      </c>
      <c r="Y382">
        <v>19</v>
      </c>
      <c r="AA382">
        <v>0</v>
      </c>
      <c r="AB382">
        <v>0</v>
      </c>
    </row>
    <row r="383" spans="1:28" x14ac:dyDescent="0.4">
      <c r="A383">
        <v>385</v>
      </c>
      <c r="B383">
        <v>385</v>
      </c>
      <c r="C383" t="s">
        <v>39</v>
      </c>
      <c r="D383" t="s">
        <v>465</v>
      </c>
      <c r="E383">
        <v>1</v>
      </c>
      <c r="F383">
        <v>1</v>
      </c>
      <c r="G383">
        <v>3</v>
      </c>
      <c r="H383">
        <v>3</v>
      </c>
      <c r="I383">
        <v>0</v>
      </c>
      <c r="J383">
        <v>23</v>
      </c>
      <c r="K383">
        <v>0</v>
      </c>
      <c r="L383">
        <v>2</v>
      </c>
      <c r="M383">
        <v>2</v>
      </c>
      <c r="N383">
        <v>0</v>
      </c>
      <c r="O383">
        <v>0</v>
      </c>
      <c r="P383">
        <v>0</v>
      </c>
      <c r="Q383">
        <v>0</v>
      </c>
      <c r="R383">
        <v>3</v>
      </c>
      <c r="S383">
        <v>0</v>
      </c>
      <c r="T383" t="s">
        <v>41</v>
      </c>
      <c r="U383" t="s">
        <v>80</v>
      </c>
      <c r="V383">
        <v>0</v>
      </c>
      <c r="W383">
        <v>14</v>
      </c>
      <c r="X383">
        <v>22</v>
      </c>
      <c r="Y383">
        <v>3</v>
      </c>
      <c r="AA383">
        <v>0</v>
      </c>
      <c r="AB383">
        <v>0</v>
      </c>
    </row>
    <row r="384" spans="1:28" x14ac:dyDescent="0.4">
      <c r="A384">
        <v>386</v>
      </c>
      <c r="B384">
        <v>386</v>
      </c>
      <c r="C384" t="s">
        <v>34</v>
      </c>
      <c r="D384" t="s">
        <v>466</v>
      </c>
      <c r="E384">
        <v>1</v>
      </c>
      <c r="F384">
        <v>1</v>
      </c>
      <c r="G384">
        <v>2</v>
      </c>
      <c r="H384">
        <v>2</v>
      </c>
      <c r="I384">
        <v>0</v>
      </c>
      <c r="J384">
        <v>7</v>
      </c>
      <c r="K384">
        <v>0</v>
      </c>
      <c r="L384">
        <v>2</v>
      </c>
      <c r="M384">
        <v>1</v>
      </c>
      <c r="N384">
        <v>0</v>
      </c>
      <c r="O384">
        <v>0</v>
      </c>
      <c r="P384">
        <v>0</v>
      </c>
      <c r="Q384">
        <v>0</v>
      </c>
      <c r="R384">
        <v>2</v>
      </c>
      <c r="S384">
        <v>0</v>
      </c>
      <c r="T384" t="s">
        <v>36</v>
      </c>
      <c r="U384" t="s">
        <v>64</v>
      </c>
      <c r="V384">
        <v>0</v>
      </c>
      <c r="W384">
        <v>2</v>
      </c>
      <c r="X384">
        <v>5</v>
      </c>
      <c r="Y384">
        <v>1</v>
      </c>
      <c r="AA384">
        <v>0</v>
      </c>
      <c r="AB384">
        <v>0</v>
      </c>
    </row>
    <row r="385" spans="1:28" x14ac:dyDescent="0.4">
      <c r="A385">
        <v>387</v>
      </c>
      <c r="B385">
        <v>387</v>
      </c>
      <c r="C385" t="s">
        <v>34</v>
      </c>
      <c r="D385" t="s">
        <v>467</v>
      </c>
      <c r="E385">
        <v>1</v>
      </c>
      <c r="F385">
        <v>1</v>
      </c>
      <c r="G385">
        <v>2</v>
      </c>
      <c r="H385">
        <v>2</v>
      </c>
      <c r="I385">
        <v>0</v>
      </c>
      <c r="J385">
        <v>8</v>
      </c>
      <c r="K385">
        <v>0</v>
      </c>
      <c r="L385">
        <v>3</v>
      </c>
      <c r="M385">
        <v>1</v>
      </c>
      <c r="N385">
        <v>0</v>
      </c>
      <c r="O385">
        <v>1</v>
      </c>
      <c r="P385">
        <v>0</v>
      </c>
      <c r="Q385">
        <v>0</v>
      </c>
      <c r="R385">
        <v>4</v>
      </c>
      <c r="S385">
        <v>0</v>
      </c>
      <c r="T385" t="s">
        <v>36</v>
      </c>
      <c r="U385" t="s">
        <v>80</v>
      </c>
      <c r="V385">
        <v>0</v>
      </c>
      <c r="W385">
        <v>3</v>
      </c>
      <c r="X385">
        <v>6</v>
      </c>
      <c r="Y385">
        <v>2</v>
      </c>
      <c r="AA385">
        <v>0</v>
      </c>
      <c r="AB385">
        <v>0</v>
      </c>
    </row>
    <row r="386" spans="1:28" x14ac:dyDescent="0.4">
      <c r="A386">
        <v>388</v>
      </c>
      <c r="B386">
        <v>388</v>
      </c>
      <c r="C386" t="s">
        <v>243</v>
      </c>
      <c r="D386" t="s">
        <v>468</v>
      </c>
      <c r="E386">
        <v>21</v>
      </c>
      <c r="F386">
        <v>38</v>
      </c>
      <c r="G386">
        <v>47</v>
      </c>
      <c r="H386">
        <v>37</v>
      </c>
      <c r="I386">
        <v>4</v>
      </c>
      <c r="J386">
        <v>0</v>
      </c>
      <c r="K386">
        <v>15</v>
      </c>
      <c r="L386">
        <v>3</v>
      </c>
      <c r="M386">
        <v>0</v>
      </c>
      <c r="N386">
        <v>4</v>
      </c>
      <c r="O386">
        <v>0</v>
      </c>
      <c r="P386">
        <v>4</v>
      </c>
      <c r="Q386">
        <v>0</v>
      </c>
      <c r="R386">
        <v>3</v>
      </c>
      <c r="S386">
        <v>15</v>
      </c>
      <c r="T386" t="s">
        <v>56</v>
      </c>
      <c r="U386" t="s">
        <v>113</v>
      </c>
      <c r="V386">
        <v>9</v>
      </c>
      <c r="W386">
        <v>7</v>
      </c>
      <c r="X386">
        <v>0</v>
      </c>
      <c r="Y386">
        <v>17</v>
      </c>
      <c r="AA386">
        <v>7</v>
      </c>
      <c r="AB386">
        <v>13</v>
      </c>
    </row>
    <row r="387" spans="1:28" x14ac:dyDescent="0.4">
      <c r="A387">
        <v>389</v>
      </c>
      <c r="B387">
        <v>389</v>
      </c>
      <c r="C387" t="s">
        <v>54</v>
      </c>
      <c r="D387" t="s">
        <v>469</v>
      </c>
      <c r="E387">
        <v>3</v>
      </c>
      <c r="F387">
        <v>5</v>
      </c>
      <c r="G387">
        <v>8</v>
      </c>
      <c r="H387">
        <v>46</v>
      </c>
      <c r="I387">
        <v>39</v>
      </c>
      <c r="J387">
        <v>3</v>
      </c>
      <c r="K387">
        <v>10</v>
      </c>
      <c r="L387">
        <v>0</v>
      </c>
      <c r="M387">
        <v>0</v>
      </c>
      <c r="N387">
        <v>13</v>
      </c>
      <c r="O387">
        <v>0</v>
      </c>
      <c r="P387">
        <v>10</v>
      </c>
      <c r="Q387">
        <v>0</v>
      </c>
      <c r="R387">
        <v>3</v>
      </c>
      <c r="S387">
        <v>7</v>
      </c>
      <c r="T387" t="s">
        <v>56</v>
      </c>
      <c r="U387" t="s">
        <v>261</v>
      </c>
      <c r="V387">
        <v>4</v>
      </c>
      <c r="W387">
        <v>6</v>
      </c>
      <c r="X387">
        <v>0</v>
      </c>
      <c r="Y387">
        <v>16</v>
      </c>
      <c r="AA387">
        <v>5</v>
      </c>
      <c r="AB387">
        <v>12</v>
      </c>
    </row>
    <row r="388" spans="1:28" x14ac:dyDescent="0.4">
      <c r="A388">
        <v>390</v>
      </c>
      <c r="B388">
        <v>390</v>
      </c>
      <c r="C388" t="s">
        <v>39</v>
      </c>
      <c r="D388" t="s">
        <v>470</v>
      </c>
      <c r="E388">
        <v>1</v>
      </c>
      <c r="F388">
        <v>1</v>
      </c>
      <c r="G388">
        <v>3</v>
      </c>
      <c r="H388">
        <v>3</v>
      </c>
      <c r="I388">
        <v>0</v>
      </c>
      <c r="J388">
        <v>23</v>
      </c>
      <c r="K388">
        <v>0</v>
      </c>
      <c r="L388">
        <v>3</v>
      </c>
      <c r="M388">
        <v>2</v>
      </c>
      <c r="N388">
        <v>0</v>
      </c>
      <c r="O388">
        <v>1</v>
      </c>
      <c r="P388">
        <v>0</v>
      </c>
      <c r="Q388">
        <v>0</v>
      </c>
      <c r="R388">
        <v>6</v>
      </c>
      <c r="S388">
        <v>0</v>
      </c>
      <c r="T388" t="s">
        <v>41</v>
      </c>
      <c r="U388" t="s">
        <v>113</v>
      </c>
      <c r="V388">
        <v>0</v>
      </c>
      <c r="W388">
        <v>16</v>
      </c>
      <c r="X388">
        <v>22</v>
      </c>
      <c r="Y388">
        <v>16</v>
      </c>
      <c r="AA388">
        <v>0</v>
      </c>
      <c r="AB388">
        <v>0</v>
      </c>
    </row>
    <row r="389" spans="1:28" x14ac:dyDescent="0.4">
      <c r="A389">
        <v>391</v>
      </c>
      <c r="B389">
        <v>391</v>
      </c>
      <c r="C389" t="s">
        <v>65</v>
      </c>
      <c r="D389" t="s">
        <v>471</v>
      </c>
      <c r="E389">
        <v>3</v>
      </c>
      <c r="F389">
        <v>5</v>
      </c>
      <c r="G389">
        <v>7</v>
      </c>
      <c r="H389">
        <v>7</v>
      </c>
      <c r="I389">
        <v>40</v>
      </c>
      <c r="J389">
        <v>0</v>
      </c>
      <c r="K389">
        <v>0</v>
      </c>
      <c r="L389">
        <v>0</v>
      </c>
      <c r="M389">
        <v>0</v>
      </c>
      <c r="N389">
        <v>3</v>
      </c>
      <c r="O389">
        <v>0</v>
      </c>
      <c r="P389">
        <v>2</v>
      </c>
      <c r="Q389">
        <v>0</v>
      </c>
      <c r="R389">
        <v>1</v>
      </c>
      <c r="S389">
        <v>6</v>
      </c>
      <c r="T389" t="s">
        <v>56</v>
      </c>
      <c r="U389" t="s">
        <v>45</v>
      </c>
      <c r="V389">
        <v>1</v>
      </c>
      <c r="W389">
        <v>1</v>
      </c>
      <c r="X389">
        <v>0</v>
      </c>
      <c r="Y389">
        <v>2</v>
      </c>
      <c r="AA389">
        <v>3</v>
      </c>
      <c r="AB389">
        <v>4</v>
      </c>
    </row>
    <row r="390" spans="1:28" x14ac:dyDescent="0.4">
      <c r="A390">
        <v>392</v>
      </c>
      <c r="B390">
        <v>392</v>
      </c>
      <c r="C390" t="s">
        <v>65</v>
      </c>
      <c r="D390" t="s">
        <v>472</v>
      </c>
      <c r="E390">
        <v>3</v>
      </c>
      <c r="F390">
        <v>5</v>
      </c>
      <c r="G390">
        <v>7</v>
      </c>
      <c r="H390">
        <v>7</v>
      </c>
      <c r="I390">
        <v>40</v>
      </c>
      <c r="J390">
        <v>0</v>
      </c>
      <c r="K390">
        <v>0</v>
      </c>
      <c r="L390">
        <v>1</v>
      </c>
      <c r="M390">
        <v>0</v>
      </c>
      <c r="N390">
        <v>4</v>
      </c>
      <c r="O390">
        <v>0</v>
      </c>
      <c r="P390">
        <v>3</v>
      </c>
      <c r="Q390">
        <v>0</v>
      </c>
      <c r="R390">
        <v>3</v>
      </c>
      <c r="S390">
        <v>8</v>
      </c>
      <c r="T390" t="s">
        <v>56</v>
      </c>
      <c r="U390" t="s">
        <v>64</v>
      </c>
      <c r="V390">
        <v>1</v>
      </c>
      <c r="W390">
        <v>1</v>
      </c>
      <c r="X390">
        <v>0</v>
      </c>
      <c r="Y390">
        <v>2</v>
      </c>
      <c r="AA390">
        <v>3</v>
      </c>
      <c r="AB390">
        <v>4</v>
      </c>
    </row>
    <row r="391" spans="1:28" x14ac:dyDescent="0.4">
      <c r="A391">
        <v>393</v>
      </c>
      <c r="B391">
        <v>393</v>
      </c>
      <c r="C391" t="s">
        <v>591</v>
      </c>
      <c r="D391" t="s">
        <v>592</v>
      </c>
      <c r="E391">
        <v>1</v>
      </c>
      <c r="F391">
        <v>1</v>
      </c>
      <c r="G391">
        <v>1</v>
      </c>
      <c r="H391">
        <v>1</v>
      </c>
      <c r="I391">
        <v>0</v>
      </c>
      <c r="J391">
        <v>3</v>
      </c>
      <c r="K391">
        <v>0</v>
      </c>
      <c r="L391">
        <v>3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2</v>
      </c>
      <c r="S391">
        <v>0</v>
      </c>
      <c r="T391" t="s">
        <v>593</v>
      </c>
      <c r="U391" t="s">
        <v>64</v>
      </c>
      <c r="V391">
        <v>0</v>
      </c>
      <c r="W391">
        <v>1</v>
      </c>
      <c r="X391">
        <v>2</v>
      </c>
      <c r="Y391">
        <v>0</v>
      </c>
      <c r="AA391">
        <v>0</v>
      </c>
      <c r="AB391">
        <v>0</v>
      </c>
    </row>
    <row r="392" spans="1:28" x14ac:dyDescent="0.4">
      <c r="A392">
        <v>394</v>
      </c>
      <c r="B392">
        <v>394</v>
      </c>
      <c r="C392" t="s">
        <v>28</v>
      </c>
      <c r="D392" t="s">
        <v>594</v>
      </c>
      <c r="E392">
        <v>1</v>
      </c>
      <c r="F392">
        <v>1</v>
      </c>
      <c r="G392">
        <v>1</v>
      </c>
      <c r="H392">
        <v>1</v>
      </c>
      <c r="I392">
        <v>0</v>
      </c>
      <c r="J392">
        <v>3</v>
      </c>
      <c r="K392">
        <v>0</v>
      </c>
      <c r="L392">
        <v>4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3</v>
      </c>
      <c r="S392">
        <v>0</v>
      </c>
      <c r="T392" t="s">
        <v>30</v>
      </c>
      <c r="U392" t="s">
        <v>80</v>
      </c>
      <c r="V392">
        <v>0</v>
      </c>
      <c r="W392">
        <v>1</v>
      </c>
      <c r="X392">
        <v>2</v>
      </c>
      <c r="Y392">
        <v>0</v>
      </c>
      <c r="AA392">
        <v>0</v>
      </c>
      <c r="AB392">
        <v>0</v>
      </c>
    </row>
    <row r="393" spans="1:28" x14ac:dyDescent="0.4">
      <c r="A393">
        <v>395</v>
      </c>
      <c r="B393">
        <v>395</v>
      </c>
      <c r="C393" t="s">
        <v>595</v>
      </c>
      <c r="D393" t="s">
        <v>596</v>
      </c>
      <c r="E393">
        <v>26</v>
      </c>
      <c r="F393">
        <v>46</v>
      </c>
      <c r="G393">
        <v>53</v>
      </c>
      <c r="H393">
        <v>49</v>
      </c>
      <c r="I393">
        <v>41</v>
      </c>
      <c r="J393">
        <v>0</v>
      </c>
      <c r="K393">
        <v>16</v>
      </c>
      <c r="L393">
        <v>1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17</v>
      </c>
      <c r="T393" t="s">
        <v>56</v>
      </c>
      <c r="U393" t="s">
        <v>64</v>
      </c>
      <c r="V393">
        <v>12</v>
      </c>
      <c r="W393">
        <v>18</v>
      </c>
      <c r="X393">
        <v>0</v>
      </c>
      <c r="Y393">
        <v>23</v>
      </c>
      <c r="AA393">
        <v>10</v>
      </c>
      <c r="AB393">
        <v>20</v>
      </c>
    </row>
    <row r="394" spans="1:28" x14ac:dyDescent="0.4">
      <c r="A394">
        <v>396</v>
      </c>
      <c r="B394">
        <v>396</v>
      </c>
      <c r="C394" t="s">
        <v>475</v>
      </c>
      <c r="D394" t="s">
        <v>597</v>
      </c>
      <c r="E394">
        <v>26</v>
      </c>
      <c r="F394">
        <v>46</v>
      </c>
      <c r="G394">
        <v>53</v>
      </c>
      <c r="H394">
        <v>49</v>
      </c>
      <c r="I394">
        <v>41</v>
      </c>
      <c r="J394">
        <v>0</v>
      </c>
      <c r="K394">
        <v>17</v>
      </c>
      <c r="L394">
        <v>2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19</v>
      </c>
      <c r="T394" t="s">
        <v>56</v>
      </c>
      <c r="U394" t="s">
        <v>80</v>
      </c>
      <c r="V394">
        <v>13</v>
      </c>
      <c r="W394">
        <v>18</v>
      </c>
      <c r="X394">
        <v>0</v>
      </c>
      <c r="Y394">
        <v>24</v>
      </c>
      <c r="AA394">
        <v>11</v>
      </c>
      <c r="AB394">
        <v>21</v>
      </c>
    </row>
    <row r="395" spans="1:28" x14ac:dyDescent="0.4">
      <c r="A395">
        <v>501</v>
      </c>
      <c r="B395">
        <v>0</v>
      </c>
      <c r="C395" t="s">
        <v>28</v>
      </c>
      <c r="D395" t="s">
        <v>478</v>
      </c>
      <c r="E395">
        <v>1</v>
      </c>
      <c r="F395">
        <v>1</v>
      </c>
      <c r="G395">
        <v>1</v>
      </c>
      <c r="H395">
        <v>1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 t="s">
        <v>30</v>
      </c>
      <c r="U395" t="s">
        <v>31</v>
      </c>
      <c r="V395">
        <v>0</v>
      </c>
      <c r="W395">
        <v>0</v>
      </c>
      <c r="X395">
        <v>0</v>
      </c>
      <c r="Y395">
        <v>0</v>
      </c>
      <c r="AA395">
        <v>0</v>
      </c>
      <c r="AB395">
        <v>0</v>
      </c>
    </row>
    <row r="396" spans="1:28" x14ac:dyDescent="0.4">
      <c r="A396">
        <v>502</v>
      </c>
      <c r="B396">
        <v>0</v>
      </c>
      <c r="C396" t="s">
        <v>28</v>
      </c>
      <c r="D396" t="s">
        <v>479</v>
      </c>
      <c r="E396">
        <v>1</v>
      </c>
      <c r="F396">
        <v>1</v>
      </c>
      <c r="G396">
        <v>1</v>
      </c>
      <c r="H396">
        <v>1</v>
      </c>
      <c r="I396">
        <v>0</v>
      </c>
      <c r="J396">
        <v>2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 t="s">
        <v>30</v>
      </c>
      <c r="U396" t="s">
        <v>31</v>
      </c>
      <c r="V396">
        <v>0</v>
      </c>
      <c r="W396">
        <v>0</v>
      </c>
      <c r="X396">
        <v>0</v>
      </c>
      <c r="Y396">
        <v>0</v>
      </c>
      <c r="AA396">
        <v>0</v>
      </c>
      <c r="AB396">
        <v>0</v>
      </c>
    </row>
    <row r="397" spans="1:28" x14ac:dyDescent="0.4">
      <c r="A397">
        <v>503</v>
      </c>
      <c r="B397">
        <v>0</v>
      </c>
      <c r="C397" t="s">
        <v>28</v>
      </c>
      <c r="D397" t="s">
        <v>480</v>
      </c>
      <c r="E397">
        <v>1</v>
      </c>
      <c r="F397">
        <v>1</v>
      </c>
      <c r="G397">
        <v>1</v>
      </c>
      <c r="H397">
        <v>16</v>
      </c>
      <c r="I397">
        <v>0</v>
      </c>
      <c r="J397">
        <v>1</v>
      </c>
      <c r="K397">
        <v>0</v>
      </c>
      <c r="L397">
        <v>1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t="s">
        <v>30</v>
      </c>
      <c r="U397" t="s">
        <v>45</v>
      </c>
      <c r="V397">
        <v>0</v>
      </c>
      <c r="W397">
        <v>0</v>
      </c>
      <c r="X397">
        <v>0</v>
      </c>
      <c r="Y397">
        <v>0</v>
      </c>
      <c r="AA397">
        <v>0</v>
      </c>
      <c r="AB397">
        <v>0</v>
      </c>
    </row>
    <row r="398" spans="1:28" x14ac:dyDescent="0.4">
      <c r="A398">
        <v>504</v>
      </c>
      <c r="B398">
        <v>0</v>
      </c>
      <c r="C398" t="s">
        <v>34</v>
      </c>
      <c r="D398" t="s">
        <v>481</v>
      </c>
      <c r="E398">
        <v>1</v>
      </c>
      <c r="F398">
        <v>1</v>
      </c>
      <c r="G398">
        <v>2</v>
      </c>
      <c r="H398">
        <v>2</v>
      </c>
      <c r="I398">
        <v>0</v>
      </c>
      <c r="J398">
        <v>2</v>
      </c>
      <c r="K398">
        <v>0</v>
      </c>
      <c r="L398">
        <v>2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 t="s">
        <v>36</v>
      </c>
      <c r="U398" t="s">
        <v>31</v>
      </c>
      <c r="V398">
        <v>0</v>
      </c>
      <c r="W398">
        <v>0</v>
      </c>
      <c r="X398">
        <v>0</v>
      </c>
      <c r="Y398">
        <v>0</v>
      </c>
      <c r="AA398">
        <v>0</v>
      </c>
      <c r="AB398">
        <v>0</v>
      </c>
    </row>
    <row r="399" spans="1:28" x14ac:dyDescent="0.4">
      <c r="A399">
        <v>505</v>
      </c>
      <c r="B399">
        <v>0</v>
      </c>
      <c r="C399" t="s">
        <v>34</v>
      </c>
      <c r="D399" t="s">
        <v>482</v>
      </c>
      <c r="E399">
        <v>1</v>
      </c>
      <c r="F399">
        <v>1</v>
      </c>
      <c r="G399">
        <v>2</v>
      </c>
      <c r="H399">
        <v>2</v>
      </c>
      <c r="I399">
        <v>0</v>
      </c>
      <c r="J399">
        <v>8</v>
      </c>
      <c r="K399">
        <v>0</v>
      </c>
      <c r="L399">
        <v>2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 t="s">
        <v>36</v>
      </c>
      <c r="U399" t="s">
        <v>31</v>
      </c>
      <c r="V399">
        <v>0</v>
      </c>
      <c r="W399">
        <v>0</v>
      </c>
      <c r="X399">
        <v>0</v>
      </c>
      <c r="Y399">
        <v>0</v>
      </c>
      <c r="AA399">
        <v>0</v>
      </c>
      <c r="AB399">
        <v>0</v>
      </c>
    </row>
    <row r="400" spans="1:28" x14ac:dyDescent="0.4">
      <c r="A400">
        <v>506</v>
      </c>
      <c r="B400">
        <v>0</v>
      </c>
      <c r="C400" t="s">
        <v>34</v>
      </c>
      <c r="D400" t="s">
        <v>483</v>
      </c>
      <c r="E400">
        <v>1</v>
      </c>
      <c r="F400">
        <v>1</v>
      </c>
      <c r="G400">
        <v>2</v>
      </c>
      <c r="H400">
        <v>2</v>
      </c>
      <c r="I400">
        <v>0</v>
      </c>
      <c r="J400">
        <v>3</v>
      </c>
      <c r="K400">
        <v>0</v>
      </c>
      <c r="L400">
        <v>3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 t="s">
        <v>36</v>
      </c>
      <c r="U400" t="s">
        <v>31</v>
      </c>
      <c r="V400">
        <v>0</v>
      </c>
      <c r="W400">
        <v>0</v>
      </c>
      <c r="X400">
        <v>0</v>
      </c>
      <c r="Y400">
        <v>0</v>
      </c>
      <c r="AA400">
        <v>0</v>
      </c>
      <c r="AB400">
        <v>0</v>
      </c>
    </row>
    <row r="401" spans="1:28" x14ac:dyDescent="0.4">
      <c r="A401">
        <v>507</v>
      </c>
      <c r="B401">
        <v>0</v>
      </c>
      <c r="C401" t="s">
        <v>39</v>
      </c>
      <c r="D401" t="s">
        <v>484</v>
      </c>
      <c r="E401">
        <v>1</v>
      </c>
      <c r="F401">
        <v>1</v>
      </c>
      <c r="G401">
        <v>3</v>
      </c>
      <c r="H401">
        <v>3</v>
      </c>
      <c r="I401">
        <v>0</v>
      </c>
      <c r="J401">
        <v>10</v>
      </c>
      <c r="K401">
        <v>0</v>
      </c>
      <c r="L401">
        <v>4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t="s">
        <v>41</v>
      </c>
      <c r="U401" t="s">
        <v>31</v>
      </c>
      <c r="V401">
        <v>0</v>
      </c>
      <c r="W401">
        <v>0</v>
      </c>
      <c r="X401">
        <v>0</v>
      </c>
      <c r="Y401">
        <v>0</v>
      </c>
      <c r="AA401">
        <v>0</v>
      </c>
      <c r="AB401">
        <v>0</v>
      </c>
    </row>
    <row r="402" spans="1:28" x14ac:dyDescent="0.4">
      <c r="A402">
        <v>508</v>
      </c>
      <c r="B402">
        <v>0</v>
      </c>
      <c r="C402" t="s">
        <v>39</v>
      </c>
      <c r="D402" t="s">
        <v>485</v>
      </c>
      <c r="E402">
        <v>1</v>
      </c>
      <c r="F402">
        <v>1</v>
      </c>
      <c r="G402">
        <v>3</v>
      </c>
      <c r="H402">
        <v>3</v>
      </c>
      <c r="I402">
        <v>0</v>
      </c>
      <c r="J402">
        <v>15</v>
      </c>
      <c r="K402">
        <v>0</v>
      </c>
      <c r="L402">
        <v>4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 t="s">
        <v>41</v>
      </c>
      <c r="U402" t="s">
        <v>20</v>
      </c>
      <c r="V402">
        <v>0</v>
      </c>
      <c r="W402">
        <v>0</v>
      </c>
      <c r="X402">
        <v>0</v>
      </c>
      <c r="Y402">
        <v>0</v>
      </c>
      <c r="AA402">
        <v>0</v>
      </c>
      <c r="AB402">
        <v>0</v>
      </c>
    </row>
    <row r="403" spans="1:28" x14ac:dyDescent="0.4">
      <c r="A403">
        <v>509</v>
      </c>
      <c r="B403">
        <v>0</v>
      </c>
      <c r="C403" t="s">
        <v>39</v>
      </c>
      <c r="D403" t="s">
        <v>486</v>
      </c>
      <c r="E403">
        <v>1</v>
      </c>
      <c r="F403">
        <v>1</v>
      </c>
      <c r="G403">
        <v>3</v>
      </c>
      <c r="H403">
        <v>3</v>
      </c>
      <c r="I403">
        <v>0</v>
      </c>
      <c r="J403">
        <v>20</v>
      </c>
      <c r="K403">
        <v>0</v>
      </c>
      <c r="L403">
        <v>5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 t="s">
        <v>41</v>
      </c>
      <c r="U403" t="s">
        <v>45</v>
      </c>
      <c r="V403">
        <v>0</v>
      </c>
      <c r="W403">
        <v>0</v>
      </c>
      <c r="X403">
        <v>0</v>
      </c>
      <c r="Y403">
        <v>0</v>
      </c>
      <c r="AA403">
        <v>0</v>
      </c>
      <c r="AB403">
        <v>0</v>
      </c>
    </row>
    <row r="404" spans="1:28" x14ac:dyDescent="0.4">
      <c r="A404">
        <v>510</v>
      </c>
      <c r="B404">
        <v>0</v>
      </c>
      <c r="C404" t="s">
        <v>46</v>
      </c>
      <c r="D404" t="s">
        <v>481</v>
      </c>
      <c r="E404">
        <v>1</v>
      </c>
      <c r="F404">
        <v>2</v>
      </c>
      <c r="G404">
        <v>4</v>
      </c>
      <c r="H404">
        <v>16</v>
      </c>
      <c r="I404">
        <v>0</v>
      </c>
      <c r="J404">
        <v>1</v>
      </c>
      <c r="K404">
        <v>0</v>
      </c>
      <c r="L404">
        <v>2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 t="s">
        <v>30</v>
      </c>
      <c r="U404" t="s">
        <v>31</v>
      </c>
      <c r="V404">
        <v>0</v>
      </c>
      <c r="W404">
        <v>0</v>
      </c>
      <c r="X404">
        <v>0</v>
      </c>
      <c r="Y404">
        <v>0</v>
      </c>
      <c r="AA404">
        <v>0</v>
      </c>
      <c r="AB404">
        <v>0</v>
      </c>
    </row>
    <row r="405" spans="1:28" x14ac:dyDescent="0.4">
      <c r="A405">
        <v>511</v>
      </c>
      <c r="B405">
        <v>0</v>
      </c>
      <c r="C405" t="s">
        <v>46</v>
      </c>
      <c r="D405" t="s">
        <v>487</v>
      </c>
      <c r="E405">
        <v>1</v>
      </c>
      <c r="F405">
        <v>2</v>
      </c>
      <c r="G405">
        <v>4</v>
      </c>
      <c r="H405">
        <v>4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 t="s">
        <v>36</v>
      </c>
      <c r="U405" t="s">
        <v>31</v>
      </c>
      <c r="V405">
        <v>0</v>
      </c>
      <c r="W405">
        <v>0</v>
      </c>
      <c r="X405">
        <v>0</v>
      </c>
      <c r="Y405">
        <v>0</v>
      </c>
      <c r="AA405">
        <v>0</v>
      </c>
      <c r="AB405">
        <v>0</v>
      </c>
    </row>
    <row r="406" spans="1:28" x14ac:dyDescent="0.4">
      <c r="A406">
        <v>512</v>
      </c>
      <c r="B406">
        <v>0</v>
      </c>
      <c r="C406" t="s">
        <v>46</v>
      </c>
      <c r="D406" t="s">
        <v>488</v>
      </c>
      <c r="E406">
        <v>1</v>
      </c>
      <c r="F406">
        <v>2</v>
      </c>
      <c r="G406">
        <v>4</v>
      </c>
      <c r="H406">
        <v>4</v>
      </c>
      <c r="I406">
        <v>0</v>
      </c>
      <c r="J406">
        <v>7</v>
      </c>
      <c r="K406">
        <v>0</v>
      </c>
      <c r="L406">
        <v>3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 t="s">
        <v>36</v>
      </c>
      <c r="U406" t="s">
        <v>20</v>
      </c>
      <c r="V406">
        <v>0</v>
      </c>
      <c r="W406">
        <v>0</v>
      </c>
      <c r="X406">
        <v>0</v>
      </c>
      <c r="Y406">
        <v>0</v>
      </c>
      <c r="AA406">
        <v>0</v>
      </c>
      <c r="AB406">
        <v>0</v>
      </c>
    </row>
    <row r="407" spans="1:28" x14ac:dyDescent="0.4">
      <c r="A407">
        <v>513</v>
      </c>
      <c r="B407">
        <v>0</v>
      </c>
      <c r="C407" t="s">
        <v>50</v>
      </c>
      <c r="D407" t="s">
        <v>489</v>
      </c>
      <c r="E407">
        <v>2</v>
      </c>
      <c r="F407">
        <v>3</v>
      </c>
      <c r="G407">
        <v>5</v>
      </c>
      <c r="H407">
        <v>5</v>
      </c>
      <c r="I407">
        <v>0</v>
      </c>
      <c r="J407">
        <v>0</v>
      </c>
      <c r="K407">
        <v>2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 t="s">
        <v>30</v>
      </c>
      <c r="U407" t="s">
        <v>31</v>
      </c>
      <c r="V407">
        <v>0</v>
      </c>
      <c r="W407">
        <v>0</v>
      </c>
      <c r="X407">
        <v>0</v>
      </c>
      <c r="Y407">
        <v>0</v>
      </c>
      <c r="AA407">
        <v>0</v>
      </c>
      <c r="AB407">
        <v>0</v>
      </c>
    </row>
    <row r="408" spans="1:28" x14ac:dyDescent="0.4">
      <c r="A408">
        <v>514</v>
      </c>
      <c r="B408">
        <v>0</v>
      </c>
      <c r="C408" t="s">
        <v>50</v>
      </c>
      <c r="D408" t="s">
        <v>490</v>
      </c>
      <c r="E408">
        <v>2</v>
      </c>
      <c r="F408">
        <v>3</v>
      </c>
      <c r="G408">
        <v>5</v>
      </c>
      <c r="H408">
        <v>5</v>
      </c>
      <c r="I408">
        <v>0</v>
      </c>
      <c r="J408">
        <v>0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 t="s">
        <v>30</v>
      </c>
      <c r="U408" t="s">
        <v>31</v>
      </c>
      <c r="V408">
        <v>0</v>
      </c>
      <c r="W408">
        <v>0</v>
      </c>
      <c r="X408">
        <v>0</v>
      </c>
      <c r="Y408">
        <v>0</v>
      </c>
      <c r="AA408">
        <v>0</v>
      </c>
      <c r="AB408">
        <v>0</v>
      </c>
    </row>
    <row r="409" spans="1:28" x14ac:dyDescent="0.4">
      <c r="A409">
        <v>515</v>
      </c>
      <c r="B409">
        <v>0</v>
      </c>
      <c r="C409" t="s">
        <v>50</v>
      </c>
      <c r="D409" t="s">
        <v>491</v>
      </c>
      <c r="E409">
        <v>2</v>
      </c>
      <c r="F409">
        <v>3</v>
      </c>
      <c r="G409">
        <v>5</v>
      </c>
      <c r="H409">
        <v>5</v>
      </c>
      <c r="I409">
        <v>0</v>
      </c>
      <c r="J409">
        <v>0</v>
      </c>
      <c r="K409">
        <v>10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 t="s">
        <v>30</v>
      </c>
      <c r="U409" t="s">
        <v>20</v>
      </c>
      <c r="V409">
        <v>0</v>
      </c>
      <c r="W409">
        <v>0</v>
      </c>
      <c r="X409">
        <v>0</v>
      </c>
      <c r="Y409">
        <v>0</v>
      </c>
      <c r="AA409">
        <v>0</v>
      </c>
      <c r="AB409">
        <v>0</v>
      </c>
    </row>
    <row r="410" spans="1:28" x14ac:dyDescent="0.4">
      <c r="A410">
        <v>516</v>
      </c>
      <c r="B410">
        <v>0</v>
      </c>
      <c r="C410" t="s">
        <v>54</v>
      </c>
      <c r="D410" t="s">
        <v>492</v>
      </c>
      <c r="E410">
        <v>3</v>
      </c>
      <c r="F410">
        <v>5</v>
      </c>
      <c r="G410">
        <v>8</v>
      </c>
      <c r="H410">
        <v>8</v>
      </c>
      <c r="I410">
        <v>0</v>
      </c>
      <c r="J410">
        <v>0</v>
      </c>
      <c r="K410">
        <v>4</v>
      </c>
      <c r="L410">
        <v>0</v>
      </c>
      <c r="M410">
        <v>0</v>
      </c>
      <c r="N410">
        <v>2</v>
      </c>
      <c r="O410">
        <v>0</v>
      </c>
      <c r="P410">
        <v>5</v>
      </c>
      <c r="Q410">
        <v>0</v>
      </c>
      <c r="R410">
        <v>0</v>
      </c>
      <c r="S410">
        <v>0</v>
      </c>
      <c r="T410" t="s">
        <v>56</v>
      </c>
      <c r="U410" t="s">
        <v>31</v>
      </c>
      <c r="V410">
        <v>0</v>
      </c>
      <c r="W410">
        <v>0</v>
      </c>
      <c r="X410">
        <v>0</v>
      </c>
      <c r="Y410">
        <v>0</v>
      </c>
      <c r="AA410">
        <v>0</v>
      </c>
      <c r="AB410">
        <v>0</v>
      </c>
    </row>
    <row r="411" spans="1:28" x14ac:dyDescent="0.4">
      <c r="A411">
        <v>517</v>
      </c>
      <c r="B411">
        <v>0</v>
      </c>
      <c r="C411" t="s">
        <v>54</v>
      </c>
      <c r="D411" t="s">
        <v>493</v>
      </c>
      <c r="E411">
        <v>3</v>
      </c>
      <c r="F411">
        <v>5</v>
      </c>
      <c r="G411">
        <v>8</v>
      </c>
      <c r="H411">
        <v>8</v>
      </c>
      <c r="I411">
        <v>0</v>
      </c>
      <c r="J411">
        <v>0</v>
      </c>
      <c r="K411">
        <v>6</v>
      </c>
      <c r="L411">
        <v>0</v>
      </c>
      <c r="M411">
        <v>0</v>
      </c>
      <c r="N411">
        <v>4</v>
      </c>
      <c r="O411">
        <v>0</v>
      </c>
      <c r="P411">
        <v>5</v>
      </c>
      <c r="Q411">
        <v>0</v>
      </c>
      <c r="R411">
        <v>0</v>
      </c>
      <c r="S411">
        <v>0</v>
      </c>
      <c r="T411" t="s">
        <v>56</v>
      </c>
      <c r="U411" t="s">
        <v>20</v>
      </c>
      <c r="V411">
        <v>0</v>
      </c>
      <c r="W411">
        <v>0</v>
      </c>
      <c r="X411">
        <v>0</v>
      </c>
      <c r="Y411">
        <v>0</v>
      </c>
      <c r="AA411">
        <v>0</v>
      </c>
      <c r="AB411">
        <v>0</v>
      </c>
    </row>
    <row r="412" spans="1:28" x14ac:dyDescent="0.4">
      <c r="A412">
        <v>518</v>
      </c>
      <c r="B412">
        <v>0</v>
      </c>
      <c r="C412" t="s">
        <v>54</v>
      </c>
      <c r="D412" t="s">
        <v>494</v>
      </c>
      <c r="E412">
        <v>3</v>
      </c>
      <c r="F412">
        <v>5</v>
      </c>
      <c r="G412">
        <v>8</v>
      </c>
      <c r="H412">
        <v>8</v>
      </c>
      <c r="I412">
        <v>0</v>
      </c>
      <c r="J412">
        <v>0</v>
      </c>
      <c r="K412">
        <v>11</v>
      </c>
      <c r="L412">
        <v>4</v>
      </c>
      <c r="M412">
        <v>0</v>
      </c>
      <c r="N412">
        <v>7</v>
      </c>
      <c r="O412">
        <v>0</v>
      </c>
      <c r="P412">
        <v>5</v>
      </c>
      <c r="Q412">
        <v>0</v>
      </c>
      <c r="R412">
        <v>0</v>
      </c>
      <c r="S412">
        <v>0</v>
      </c>
      <c r="T412" t="s">
        <v>56</v>
      </c>
      <c r="U412" t="s">
        <v>45</v>
      </c>
      <c r="V412">
        <v>0</v>
      </c>
      <c r="W412">
        <v>0</v>
      </c>
      <c r="X412">
        <v>0</v>
      </c>
      <c r="Y412">
        <v>0</v>
      </c>
      <c r="AA412">
        <v>0</v>
      </c>
      <c r="AB412">
        <v>0</v>
      </c>
    </row>
    <row r="413" spans="1:28" x14ac:dyDescent="0.4">
      <c r="A413">
        <v>519</v>
      </c>
      <c r="B413">
        <v>0</v>
      </c>
      <c r="C413" t="s">
        <v>59</v>
      </c>
      <c r="D413" t="s">
        <v>495</v>
      </c>
      <c r="E413">
        <v>3</v>
      </c>
      <c r="F413">
        <v>5</v>
      </c>
      <c r="G413">
        <v>6</v>
      </c>
      <c r="H413">
        <v>6</v>
      </c>
      <c r="I413">
        <v>0</v>
      </c>
      <c r="J413">
        <v>0</v>
      </c>
      <c r="K413">
        <v>0</v>
      </c>
      <c r="L413">
        <v>2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 t="s">
        <v>56</v>
      </c>
      <c r="U413" t="s">
        <v>31</v>
      </c>
      <c r="V413">
        <v>0</v>
      </c>
      <c r="W413">
        <v>0</v>
      </c>
      <c r="X413">
        <v>0</v>
      </c>
      <c r="Y413">
        <v>0</v>
      </c>
      <c r="AA413">
        <v>0</v>
      </c>
      <c r="AB413">
        <v>0</v>
      </c>
    </row>
    <row r="414" spans="1:28" x14ac:dyDescent="0.4">
      <c r="A414">
        <v>520</v>
      </c>
      <c r="B414">
        <v>0</v>
      </c>
      <c r="C414" t="s">
        <v>59</v>
      </c>
      <c r="D414" t="s">
        <v>496</v>
      </c>
      <c r="E414">
        <v>3</v>
      </c>
      <c r="F414">
        <v>5</v>
      </c>
      <c r="G414">
        <v>6</v>
      </c>
      <c r="H414">
        <v>6</v>
      </c>
      <c r="I414">
        <v>0</v>
      </c>
      <c r="J414">
        <v>0</v>
      </c>
      <c r="K414">
        <v>0</v>
      </c>
      <c r="L414">
        <v>5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 t="s">
        <v>56</v>
      </c>
      <c r="U414" t="s">
        <v>31</v>
      </c>
      <c r="V414">
        <v>0</v>
      </c>
      <c r="W414">
        <v>0</v>
      </c>
      <c r="X414">
        <v>0</v>
      </c>
      <c r="Y414">
        <v>0</v>
      </c>
      <c r="AA414">
        <v>0</v>
      </c>
      <c r="AB414">
        <v>0</v>
      </c>
    </row>
    <row r="415" spans="1:28" x14ac:dyDescent="0.4">
      <c r="A415">
        <v>521</v>
      </c>
      <c r="B415">
        <v>0</v>
      </c>
      <c r="C415" t="s">
        <v>59</v>
      </c>
      <c r="D415" t="s">
        <v>497</v>
      </c>
      <c r="E415">
        <v>3</v>
      </c>
      <c r="F415">
        <v>5</v>
      </c>
      <c r="G415">
        <v>6</v>
      </c>
      <c r="H415">
        <v>6</v>
      </c>
      <c r="I415">
        <v>0</v>
      </c>
      <c r="J415">
        <v>0</v>
      </c>
      <c r="K415">
        <v>0</v>
      </c>
      <c r="L415">
        <v>9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 t="s">
        <v>56</v>
      </c>
      <c r="U415" t="s">
        <v>20</v>
      </c>
      <c r="V415">
        <v>0</v>
      </c>
      <c r="W415">
        <v>0</v>
      </c>
      <c r="X415">
        <v>0</v>
      </c>
      <c r="Y415">
        <v>0</v>
      </c>
      <c r="AA415">
        <v>0</v>
      </c>
      <c r="AB415">
        <v>0</v>
      </c>
    </row>
    <row r="416" spans="1:28" x14ac:dyDescent="0.4">
      <c r="A416">
        <v>522</v>
      </c>
      <c r="B416">
        <v>0</v>
      </c>
      <c r="C416" t="s">
        <v>59</v>
      </c>
      <c r="D416" t="s">
        <v>498</v>
      </c>
      <c r="E416">
        <v>3</v>
      </c>
      <c r="F416">
        <v>5</v>
      </c>
      <c r="G416">
        <v>6</v>
      </c>
      <c r="H416">
        <v>6</v>
      </c>
      <c r="I416">
        <v>0</v>
      </c>
      <c r="J416">
        <v>0</v>
      </c>
      <c r="K416">
        <v>0</v>
      </c>
      <c r="L416">
        <v>13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 t="s">
        <v>56</v>
      </c>
      <c r="U416" t="s">
        <v>64</v>
      </c>
      <c r="V416">
        <v>0</v>
      </c>
      <c r="W416">
        <v>0</v>
      </c>
      <c r="X416">
        <v>0</v>
      </c>
      <c r="Y416">
        <v>0</v>
      </c>
      <c r="AA416">
        <v>0</v>
      </c>
      <c r="AB416">
        <v>0</v>
      </c>
    </row>
    <row r="417" spans="1:28" x14ac:dyDescent="0.4">
      <c r="A417">
        <v>523</v>
      </c>
      <c r="B417">
        <v>0</v>
      </c>
      <c r="C417" t="s">
        <v>65</v>
      </c>
      <c r="D417" t="s">
        <v>499</v>
      </c>
      <c r="E417">
        <v>3</v>
      </c>
      <c r="F417">
        <v>5</v>
      </c>
      <c r="G417">
        <v>7</v>
      </c>
      <c r="H417">
        <v>7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3</v>
      </c>
      <c r="T417" t="s">
        <v>56</v>
      </c>
      <c r="U417" t="s">
        <v>31</v>
      </c>
      <c r="V417">
        <v>0</v>
      </c>
      <c r="W417">
        <v>0</v>
      </c>
      <c r="X417">
        <v>0</v>
      </c>
      <c r="Y417">
        <v>0</v>
      </c>
      <c r="AA417">
        <v>0</v>
      </c>
      <c r="AB417">
        <v>0</v>
      </c>
    </row>
    <row r="418" spans="1:28" x14ac:dyDescent="0.4">
      <c r="A418">
        <v>524</v>
      </c>
      <c r="B418">
        <v>0</v>
      </c>
      <c r="C418" t="s">
        <v>65</v>
      </c>
      <c r="D418" t="s">
        <v>500</v>
      </c>
      <c r="E418">
        <v>3</v>
      </c>
      <c r="F418">
        <v>5</v>
      </c>
      <c r="G418">
        <v>7</v>
      </c>
      <c r="H418">
        <v>7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2</v>
      </c>
      <c r="O418">
        <v>0</v>
      </c>
      <c r="P418">
        <v>0</v>
      </c>
      <c r="Q418">
        <v>0</v>
      </c>
      <c r="R418">
        <v>0</v>
      </c>
      <c r="S418">
        <v>6</v>
      </c>
      <c r="T418" t="s">
        <v>56</v>
      </c>
      <c r="U418" t="s">
        <v>20</v>
      </c>
      <c r="V418">
        <v>0</v>
      </c>
      <c r="W418">
        <v>0</v>
      </c>
      <c r="X418">
        <v>0</v>
      </c>
      <c r="Y418">
        <v>0</v>
      </c>
      <c r="AA418">
        <v>0</v>
      </c>
      <c r="AB418">
        <v>0</v>
      </c>
    </row>
    <row r="419" spans="1:28" x14ac:dyDescent="0.4">
      <c r="A419">
        <v>525</v>
      </c>
      <c r="B419">
        <v>0</v>
      </c>
      <c r="C419" t="s">
        <v>68</v>
      </c>
      <c r="D419" t="s">
        <v>501</v>
      </c>
      <c r="E419">
        <v>5</v>
      </c>
      <c r="F419">
        <v>7</v>
      </c>
      <c r="G419">
        <v>10</v>
      </c>
      <c r="H419">
        <v>10</v>
      </c>
      <c r="I419">
        <v>0</v>
      </c>
      <c r="J419">
        <v>0</v>
      </c>
      <c r="K419">
        <v>0</v>
      </c>
      <c r="L419">
        <v>1</v>
      </c>
      <c r="M419">
        <v>0</v>
      </c>
      <c r="N419">
        <v>1</v>
      </c>
      <c r="O419">
        <v>0</v>
      </c>
      <c r="P419">
        <v>5</v>
      </c>
      <c r="Q419">
        <v>0</v>
      </c>
      <c r="R419">
        <v>0</v>
      </c>
      <c r="S419">
        <v>1</v>
      </c>
      <c r="T419" t="s">
        <v>56</v>
      </c>
      <c r="U419" t="s">
        <v>31</v>
      </c>
      <c r="V419">
        <v>0</v>
      </c>
      <c r="W419">
        <v>0</v>
      </c>
      <c r="X419">
        <v>0</v>
      </c>
      <c r="Y419">
        <v>0</v>
      </c>
      <c r="AA419">
        <v>0</v>
      </c>
      <c r="AB419">
        <v>0</v>
      </c>
    </row>
    <row r="420" spans="1:28" x14ac:dyDescent="0.4">
      <c r="A420">
        <v>526</v>
      </c>
      <c r="B420">
        <v>0</v>
      </c>
      <c r="C420" t="s">
        <v>68</v>
      </c>
      <c r="D420" t="s">
        <v>502</v>
      </c>
      <c r="E420">
        <v>5</v>
      </c>
      <c r="F420">
        <v>7</v>
      </c>
      <c r="G420">
        <v>10</v>
      </c>
      <c r="H420">
        <v>10</v>
      </c>
      <c r="I420">
        <v>0</v>
      </c>
      <c r="J420">
        <v>0</v>
      </c>
      <c r="K420">
        <v>0</v>
      </c>
      <c r="L420">
        <v>2</v>
      </c>
      <c r="M420">
        <v>0</v>
      </c>
      <c r="N420">
        <v>2</v>
      </c>
      <c r="O420">
        <v>0</v>
      </c>
      <c r="P420">
        <v>10</v>
      </c>
      <c r="Q420">
        <v>0</v>
      </c>
      <c r="R420">
        <v>0</v>
      </c>
      <c r="S420">
        <v>4</v>
      </c>
      <c r="T420" t="s">
        <v>56</v>
      </c>
      <c r="U420" t="s">
        <v>20</v>
      </c>
      <c r="V420">
        <v>0</v>
      </c>
      <c r="W420">
        <v>0</v>
      </c>
      <c r="X420">
        <v>0</v>
      </c>
      <c r="Y420">
        <v>0</v>
      </c>
      <c r="AA420">
        <v>0</v>
      </c>
      <c r="AB420">
        <v>0</v>
      </c>
    </row>
    <row r="421" spans="1:28" x14ac:dyDescent="0.4">
      <c r="A421">
        <v>527</v>
      </c>
      <c r="B421">
        <v>0</v>
      </c>
      <c r="C421" t="s">
        <v>72</v>
      </c>
      <c r="D421" t="s">
        <v>503</v>
      </c>
      <c r="E421">
        <v>5</v>
      </c>
      <c r="F421">
        <v>8</v>
      </c>
      <c r="G421">
        <v>12</v>
      </c>
      <c r="H421">
        <v>11</v>
      </c>
      <c r="I421">
        <v>0</v>
      </c>
      <c r="J421">
        <v>0</v>
      </c>
      <c r="K421">
        <v>0</v>
      </c>
      <c r="L421">
        <v>5</v>
      </c>
      <c r="M421">
        <v>0</v>
      </c>
      <c r="N421">
        <v>0</v>
      </c>
      <c r="O421">
        <v>0</v>
      </c>
      <c r="P421">
        <v>5</v>
      </c>
      <c r="Q421">
        <v>0</v>
      </c>
      <c r="R421">
        <v>5</v>
      </c>
      <c r="S421">
        <v>0</v>
      </c>
      <c r="T421" t="s">
        <v>56</v>
      </c>
      <c r="U421" t="s">
        <v>20</v>
      </c>
      <c r="V421">
        <v>0</v>
      </c>
      <c r="W421">
        <v>0</v>
      </c>
      <c r="X421">
        <v>0</v>
      </c>
      <c r="Y421">
        <v>0</v>
      </c>
      <c r="AA421">
        <v>0</v>
      </c>
      <c r="AB421">
        <v>0</v>
      </c>
    </row>
    <row r="422" spans="1:28" x14ac:dyDescent="0.4">
      <c r="A422">
        <v>528</v>
      </c>
      <c r="B422">
        <v>0</v>
      </c>
      <c r="C422" t="s">
        <v>72</v>
      </c>
      <c r="D422" t="s">
        <v>504</v>
      </c>
      <c r="E422">
        <v>5</v>
      </c>
      <c r="F422">
        <v>8</v>
      </c>
      <c r="G422">
        <v>12</v>
      </c>
      <c r="H422">
        <v>11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5</v>
      </c>
      <c r="Q422">
        <v>0</v>
      </c>
      <c r="R422">
        <v>10</v>
      </c>
      <c r="S422">
        <v>0</v>
      </c>
      <c r="T422" t="s">
        <v>56</v>
      </c>
      <c r="U422" t="s">
        <v>20</v>
      </c>
      <c r="V422">
        <v>0</v>
      </c>
      <c r="W422">
        <v>0</v>
      </c>
      <c r="X422">
        <v>0</v>
      </c>
      <c r="Y422">
        <v>0</v>
      </c>
      <c r="AA422">
        <v>0</v>
      </c>
      <c r="AB422">
        <v>0</v>
      </c>
    </row>
    <row r="423" spans="1:28" x14ac:dyDescent="0.4">
      <c r="A423">
        <v>529</v>
      </c>
      <c r="B423">
        <v>0</v>
      </c>
      <c r="C423" t="s">
        <v>72</v>
      </c>
      <c r="D423" t="s">
        <v>505</v>
      </c>
      <c r="E423">
        <v>5</v>
      </c>
      <c r="F423">
        <v>8</v>
      </c>
      <c r="G423">
        <v>12</v>
      </c>
      <c r="H423">
        <v>11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10</v>
      </c>
      <c r="Q423">
        <v>0</v>
      </c>
      <c r="R423">
        <v>15</v>
      </c>
      <c r="S423">
        <v>0</v>
      </c>
      <c r="T423" t="s">
        <v>56</v>
      </c>
      <c r="U423" t="s">
        <v>45</v>
      </c>
      <c r="V423">
        <v>0</v>
      </c>
      <c r="W423">
        <v>0</v>
      </c>
      <c r="X423">
        <v>0</v>
      </c>
      <c r="Y423">
        <v>0</v>
      </c>
      <c r="AA423">
        <v>0</v>
      </c>
      <c r="AB423">
        <v>0</v>
      </c>
    </row>
    <row r="424" spans="1:28" x14ac:dyDescent="0.4">
      <c r="A424">
        <v>530</v>
      </c>
      <c r="B424">
        <v>0</v>
      </c>
      <c r="C424" t="s">
        <v>76</v>
      </c>
      <c r="D424" t="s">
        <v>506</v>
      </c>
      <c r="E424">
        <v>5</v>
      </c>
      <c r="F424">
        <v>8</v>
      </c>
      <c r="G424">
        <v>13</v>
      </c>
      <c r="H424">
        <v>11</v>
      </c>
      <c r="I424">
        <v>0</v>
      </c>
      <c r="J424">
        <v>0</v>
      </c>
      <c r="K424">
        <v>0</v>
      </c>
      <c r="L424">
        <v>10</v>
      </c>
      <c r="M424">
        <v>0</v>
      </c>
      <c r="N424">
        <v>0</v>
      </c>
      <c r="O424">
        <v>0</v>
      </c>
      <c r="P424">
        <v>10</v>
      </c>
      <c r="Q424">
        <v>0</v>
      </c>
      <c r="R424">
        <v>5</v>
      </c>
      <c r="S424">
        <v>0</v>
      </c>
      <c r="T424" t="s">
        <v>56</v>
      </c>
      <c r="U424" t="s">
        <v>45</v>
      </c>
      <c r="V424">
        <v>0</v>
      </c>
      <c r="W424">
        <v>0</v>
      </c>
      <c r="X424">
        <v>0</v>
      </c>
      <c r="Y424">
        <v>0</v>
      </c>
      <c r="AA424">
        <v>0</v>
      </c>
      <c r="AB424">
        <v>0</v>
      </c>
    </row>
    <row r="425" spans="1:28" x14ac:dyDescent="0.4">
      <c r="A425">
        <v>531</v>
      </c>
      <c r="B425">
        <v>0</v>
      </c>
      <c r="C425" t="s">
        <v>76</v>
      </c>
      <c r="D425" t="s">
        <v>507</v>
      </c>
      <c r="E425">
        <v>5</v>
      </c>
      <c r="F425">
        <v>8</v>
      </c>
      <c r="G425">
        <v>13</v>
      </c>
      <c r="H425">
        <v>11</v>
      </c>
      <c r="I425">
        <v>0</v>
      </c>
      <c r="J425">
        <v>0</v>
      </c>
      <c r="K425">
        <v>0</v>
      </c>
      <c r="L425">
        <v>5</v>
      </c>
      <c r="M425">
        <v>0</v>
      </c>
      <c r="N425">
        <v>5</v>
      </c>
      <c r="O425">
        <v>3</v>
      </c>
      <c r="P425">
        <v>16</v>
      </c>
      <c r="Q425">
        <v>0</v>
      </c>
      <c r="R425">
        <v>24</v>
      </c>
      <c r="S425">
        <v>0</v>
      </c>
      <c r="T425" t="s">
        <v>56</v>
      </c>
      <c r="U425" t="s">
        <v>64</v>
      </c>
      <c r="V425">
        <v>0</v>
      </c>
      <c r="W425">
        <v>0</v>
      </c>
      <c r="X425">
        <v>0</v>
      </c>
      <c r="Y425">
        <v>0</v>
      </c>
      <c r="AA425">
        <v>0</v>
      </c>
      <c r="AB425">
        <v>0</v>
      </c>
    </row>
    <row r="426" spans="1:28" x14ac:dyDescent="0.4">
      <c r="A426">
        <v>532</v>
      </c>
      <c r="B426">
        <v>0</v>
      </c>
      <c r="C426" t="s">
        <v>76</v>
      </c>
      <c r="D426" t="s">
        <v>508</v>
      </c>
      <c r="E426">
        <v>5</v>
      </c>
      <c r="F426">
        <v>8</v>
      </c>
      <c r="G426">
        <v>13</v>
      </c>
      <c r="H426">
        <v>11</v>
      </c>
      <c r="I426">
        <v>0</v>
      </c>
      <c r="J426">
        <v>0</v>
      </c>
      <c r="K426">
        <v>0</v>
      </c>
      <c r="L426">
        <v>18</v>
      </c>
      <c r="M426">
        <v>0</v>
      </c>
      <c r="N426">
        <v>5</v>
      </c>
      <c r="O426">
        <v>2</v>
      </c>
      <c r="P426">
        <v>12</v>
      </c>
      <c r="Q426">
        <v>0</v>
      </c>
      <c r="R426">
        <v>16</v>
      </c>
      <c r="S426">
        <v>0</v>
      </c>
      <c r="T426" t="s">
        <v>56</v>
      </c>
      <c r="U426" t="s">
        <v>80</v>
      </c>
      <c r="V426">
        <v>0</v>
      </c>
      <c r="W426">
        <v>0</v>
      </c>
      <c r="X426">
        <v>0</v>
      </c>
      <c r="Y426">
        <v>0</v>
      </c>
      <c r="AA426">
        <v>0</v>
      </c>
      <c r="AB426">
        <v>0</v>
      </c>
    </row>
    <row r="427" spans="1:28" x14ac:dyDescent="0.4">
      <c r="A427">
        <v>533</v>
      </c>
      <c r="B427">
        <v>0</v>
      </c>
      <c r="C427" t="s">
        <v>81</v>
      </c>
      <c r="D427" t="s">
        <v>509</v>
      </c>
      <c r="E427">
        <v>6</v>
      </c>
      <c r="F427">
        <v>9</v>
      </c>
      <c r="G427">
        <v>17</v>
      </c>
      <c r="H427">
        <v>19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10</v>
      </c>
      <c r="P427">
        <v>0</v>
      </c>
      <c r="Q427">
        <v>0</v>
      </c>
      <c r="R427">
        <v>0</v>
      </c>
      <c r="S427">
        <v>0</v>
      </c>
      <c r="T427" t="s">
        <v>56</v>
      </c>
      <c r="U427" t="s">
        <v>31</v>
      </c>
      <c r="V427">
        <v>0</v>
      </c>
      <c r="W427">
        <v>0</v>
      </c>
      <c r="X427">
        <v>0</v>
      </c>
      <c r="Y427">
        <v>0</v>
      </c>
      <c r="AA427">
        <v>0</v>
      </c>
      <c r="AB427">
        <v>0</v>
      </c>
    </row>
    <row r="428" spans="1:28" x14ac:dyDescent="0.4">
      <c r="A428">
        <v>534</v>
      </c>
      <c r="B428">
        <v>0</v>
      </c>
      <c r="C428" t="s">
        <v>81</v>
      </c>
      <c r="D428" t="s">
        <v>510</v>
      </c>
      <c r="E428">
        <v>6</v>
      </c>
      <c r="F428">
        <v>9</v>
      </c>
      <c r="G428">
        <v>17</v>
      </c>
      <c r="H428">
        <v>19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15</v>
      </c>
      <c r="P428">
        <v>0</v>
      </c>
      <c r="Q428">
        <v>0</v>
      </c>
      <c r="R428">
        <v>0</v>
      </c>
      <c r="S428">
        <v>0</v>
      </c>
      <c r="T428" t="s">
        <v>56</v>
      </c>
      <c r="U428" t="s">
        <v>20</v>
      </c>
      <c r="V428">
        <v>0</v>
      </c>
      <c r="W428">
        <v>0</v>
      </c>
      <c r="X428">
        <v>0</v>
      </c>
      <c r="Y428">
        <v>0</v>
      </c>
      <c r="AA428">
        <v>0</v>
      </c>
      <c r="AB428">
        <v>0</v>
      </c>
    </row>
    <row r="429" spans="1:28" x14ac:dyDescent="0.4">
      <c r="A429">
        <v>535</v>
      </c>
      <c r="B429">
        <v>0</v>
      </c>
      <c r="C429" t="s">
        <v>84</v>
      </c>
      <c r="D429" t="s">
        <v>511</v>
      </c>
      <c r="E429">
        <v>4</v>
      </c>
      <c r="F429">
        <v>6</v>
      </c>
      <c r="G429">
        <v>18</v>
      </c>
      <c r="H429">
        <v>12</v>
      </c>
      <c r="I429">
        <v>0</v>
      </c>
      <c r="J429">
        <v>0</v>
      </c>
      <c r="K429">
        <v>0</v>
      </c>
      <c r="L429">
        <v>10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 t="s">
        <v>56</v>
      </c>
      <c r="U429" t="s">
        <v>31</v>
      </c>
      <c r="V429">
        <v>0</v>
      </c>
      <c r="W429">
        <v>0</v>
      </c>
      <c r="X429">
        <v>0</v>
      </c>
      <c r="Y429">
        <v>0</v>
      </c>
      <c r="AA429">
        <v>0</v>
      </c>
      <c r="AB429">
        <v>0</v>
      </c>
    </row>
    <row r="430" spans="1:28" x14ac:dyDescent="0.4">
      <c r="A430">
        <v>536</v>
      </c>
      <c r="B430">
        <v>0</v>
      </c>
      <c r="C430" t="s">
        <v>86</v>
      </c>
      <c r="D430" t="s">
        <v>512</v>
      </c>
      <c r="E430">
        <v>4</v>
      </c>
      <c r="F430">
        <v>25</v>
      </c>
      <c r="G430">
        <v>19</v>
      </c>
      <c r="H430">
        <v>13</v>
      </c>
      <c r="I430">
        <v>0</v>
      </c>
      <c r="J430">
        <v>15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5</v>
      </c>
      <c r="S430">
        <v>0</v>
      </c>
      <c r="T430" t="s">
        <v>56</v>
      </c>
      <c r="U430" t="s">
        <v>20</v>
      </c>
      <c r="V430">
        <v>0</v>
      </c>
      <c r="W430">
        <v>0</v>
      </c>
      <c r="X430">
        <v>0</v>
      </c>
      <c r="Y430">
        <v>0</v>
      </c>
      <c r="AA430">
        <v>0</v>
      </c>
      <c r="AB430">
        <v>0</v>
      </c>
    </row>
    <row r="431" spans="1:28" x14ac:dyDescent="0.4">
      <c r="A431">
        <v>537</v>
      </c>
      <c r="B431">
        <v>0</v>
      </c>
      <c r="C431" t="s">
        <v>88</v>
      </c>
      <c r="D431" t="s">
        <v>513</v>
      </c>
      <c r="E431">
        <v>4</v>
      </c>
      <c r="F431">
        <v>6</v>
      </c>
      <c r="G431">
        <v>21</v>
      </c>
      <c r="H431">
        <v>15</v>
      </c>
      <c r="I431">
        <v>0</v>
      </c>
      <c r="J431">
        <v>0</v>
      </c>
      <c r="K431">
        <v>0</v>
      </c>
      <c r="L431">
        <v>2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 t="s">
        <v>56</v>
      </c>
      <c r="U431" t="s">
        <v>31</v>
      </c>
      <c r="V431">
        <v>0</v>
      </c>
      <c r="W431">
        <v>0</v>
      </c>
      <c r="X431">
        <v>0</v>
      </c>
      <c r="Y431">
        <v>0</v>
      </c>
      <c r="AA431">
        <v>0</v>
      </c>
      <c r="AB431">
        <v>0</v>
      </c>
    </row>
    <row r="432" spans="1:28" x14ac:dyDescent="0.4">
      <c r="A432">
        <v>538</v>
      </c>
      <c r="B432">
        <v>0</v>
      </c>
      <c r="C432" t="s">
        <v>88</v>
      </c>
      <c r="D432" t="s">
        <v>514</v>
      </c>
      <c r="E432">
        <v>4</v>
      </c>
      <c r="F432">
        <v>6</v>
      </c>
      <c r="G432">
        <v>21</v>
      </c>
      <c r="H432">
        <v>15</v>
      </c>
      <c r="I432">
        <v>0</v>
      </c>
      <c r="J432">
        <v>0</v>
      </c>
      <c r="K432">
        <v>0</v>
      </c>
      <c r="L432">
        <v>4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 t="s">
        <v>56</v>
      </c>
      <c r="U432" t="s">
        <v>31</v>
      </c>
      <c r="V432">
        <v>0</v>
      </c>
      <c r="W432">
        <v>0</v>
      </c>
      <c r="X432">
        <v>0</v>
      </c>
      <c r="Y432">
        <v>0</v>
      </c>
      <c r="AA432">
        <v>0</v>
      </c>
      <c r="AB432">
        <v>0</v>
      </c>
    </row>
    <row r="433" spans="1:28" x14ac:dyDescent="0.4">
      <c r="A433">
        <v>539</v>
      </c>
      <c r="B433">
        <v>0</v>
      </c>
      <c r="C433" t="s">
        <v>88</v>
      </c>
      <c r="D433" t="s">
        <v>515</v>
      </c>
      <c r="E433">
        <v>4</v>
      </c>
      <c r="F433">
        <v>6</v>
      </c>
      <c r="G433">
        <v>21</v>
      </c>
      <c r="H433">
        <v>15</v>
      </c>
      <c r="I433">
        <v>0</v>
      </c>
      <c r="J433">
        <v>0</v>
      </c>
      <c r="K433">
        <v>0</v>
      </c>
      <c r="L433">
        <v>8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t="s">
        <v>56</v>
      </c>
      <c r="U433" t="s">
        <v>20</v>
      </c>
      <c r="V433">
        <v>0</v>
      </c>
      <c r="W433">
        <v>0</v>
      </c>
      <c r="X433">
        <v>0</v>
      </c>
      <c r="Y433">
        <v>0</v>
      </c>
      <c r="AA433">
        <v>0</v>
      </c>
      <c r="AB433">
        <v>0</v>
      </c>
    </row>
    <row r="434" spans="1:28" x14ac:dyDescent="0.4">
      <c r="A434">
        <v>540</v>
      </c>
      <c r="B434">
        <v>0</v>
      </c>
      <c r="C434" t="s">
        <v>88</v>
      </c>
      <c r="D434" t="s">
        <v>516</v>
      </c>
      <c r="E434">
        <v>4</v>
      </c>
      <c r="F434">
        <v>6</v>
      </c>
      <c r="G434">
        <v>21</v>
      </c>
      <c r="H434">
        <v>15</v>
      </c>
      <c r="I434">
        <v>0</v>
      </c>
      <c r="J434">
        <v>0</v>
      </c>
      <c r="K434">
        <v>0</v>
      </c>
      <c r="L434">
        <v>12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56</v>
      </c>
      <c r="U434" t="s">
        <v>45</v>
      </c>
      <c r="V434">
        <v>0</v>
      </c>
      <c r="W434">
        <v>0</v>
      </c>
      <c r="X434">
        <v>0</v>
      </c>
      <c r="Y434">
        <v>0</v>
      </c>
      <c r="AA434">
        <v>0</v>
      </c>
      <c r="AB434">
        <v>0</v>
      </c>
    </row>
    <row r="435" spans="1:28" x14ac:dyDescent="0.4">
      <c r="A435">
        <v>541</v>
      </c>
      <c r="B435">
        <v>0</v>
      </c>
      <c r="C435" t="s">
        <v>93</v>
      </c>
      <c r="D435" t="s">
        <v>517</v>
      </c>
      <c r="E435">
        <v>2</v>
      </c>
      <c r="F435">
        <v>3</v>
      </c>
      <c r="G435">
        <v>22</v>
      </c>
      <c r="H435">
        <v>5</v>
      </c>
      <c r="I435">
        <v>0</v>
      </c>
      <c r="J435">
        <v>0</v>
      </c>
      <c r="K435">
        <v>18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5</v>
      </c>
      <c r="S435">
        <v>0</v>
      </c>
      <c r="T435" t="s">
        <v>30</v>
      </c>
      <c r="U435" t="s">
        <v>80</v>
      </c>
      <c r="V435">
        <v>0</v>
      </c>
      <c r="W435">
        <v>0</v>
      </c>
      <c r="X435">
        <v>0</v>
      </c>
      <c r="Y435">
        <v>0</v>
      </c>
      <c r="AA435">
        <v>0</v>
      </c>
      <c r="AB435">
        <v>0</v>
      </c>
    </row>
    <row r="436" spans="1:28" x14ac:dyDescent="0.4">
      <c r="A436">
        <v>542</v>
      </c>
      <c r="B436">
        <v>0</v>
      </c>
      <c r="C436" t="s">
        <v>97</v>
      </c>
      <c r="D436" t="s">
        <v>518</v>
      </c>
      <c r="E436">
        <v>7</v>
      </c>
      <c r="F436">
        <v>9</v>
      </c>
      <c r="G436">
        <v>15</v>
      </c>
      <c r="H436">
        <v>17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7</v>
      </c>
      <c r="O436">
        <v>0</v>
      </c>
      <c r="P436">
        <v>0</v>
      </c>
      <c r="Q436">
        <v>0</v>
      </c>
      <c r="R436">
        <v>0</v>
      </c>
      <c r="S436">
        <v>0</v>
      </c>
      <c r="T436" t="s">
        <v>56</v>
      </c>
      <c r="U436" t="s">
        <v>45</v>
      </c>
      <c r="V436">
        <v>0</v>
      </c>
      <c r="W436">
        <v>0</v>
      </c>
      <c r="X436">
        <v>0</v>
      </c>
      <c r="Y436">
        <v>0</v>
      </c>
      <c r="AA436">
        <v>0</v>
      </c>
      <c r="AB436">
        <v>0</v>
      </c>
    </row>
    <row r="437" spans="1:28" x14ac:dyDescent="0.4">
      <c r="A437">
        <v>543</v>
      </c>
      <c r="B437">
        <v>0</v>
      </c>
      <c r="C437" t="s">
        <v>100</v>
      </c>
      <c r="D437" t="s">
        <v>519</v>
      </c>
      <c r="E437">
        <v>7</v>
      </c>
      <c r="F437">
        <v>10</v>
      </c>
      <c r="G437">
        <v>14</v>
      </c>
      <c r="H437">
        <v>18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9</v>
      </c>
      <c r="O437">
        <v>0</v>
      </c>
      <c r="P437">
        <v>0</v>
      </c>
      <c r="Q437">
        <v>0</v>
      </c>
      <c r="R437">
        <v>0</v>
      </c>
      <c r="S437">
        <v>0</v>
      </c>
      <c r="T437" t="s">
        <v>56</v>
      </c>
      <c r="U437" t="s">
        <v>45</v>
      </c>
      <c r="V437">
        <v>0</v>
      </c>
      <c r="W437">
        <v>0</v>
      </c>
      <c r="X437">
        <v>0</v>
      </c>
      <c r="Y437">
        <v>0</v>
      </c>
      <c r="AA437">
        <v>0</v>
      </c>
      <c r="AB437">
        <v>0</v>
      </c>
    </row>
    <row r="438" spans="1:28" x14ac:dyDescent="0.4">
      <c r="A438">
        <v>544</v>
      </c>
      <c r="B438">
        <v>0</v>
      </c>
      <c r="C438" t="s">
        <v>97</v>
      </c>
      <c r="D438" t="s">
        <v>520</v>
      </c>
      <c r="E438">
        <v>7</v>
      </c>
      <c r="F438">
        <v>9</v>
      </c>
      <c r="G438">
        <v>15</v>
      </c>
      <c r="H438">
        <v>17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13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56</v>
      </c>
      <c r="U438" t="s">
        <v>64</v>
      </c>
      <c r="V438">
        <v>0</v>
      </c>
      <c r="W438">
        <v>0</v>
      </c>
      <c r="X438">
        <v>0</v>
      </c>
      <c r="Y438">
        <v>0</v>
      </c>
      <c r="AA438">
        <v>0</v>
      </c>
      <c r="AB438">
        <v>0</v>
      </c>
    </row>
    <row r="439" spans="1:28" x14ac:dyDescent="0.4">
      <c r="A439">
        <v>545</v>
      </c>
      <c r="B439">
        <v>0</v>
      </c>
      <c r="C439" t="s">
        <v>100</v>
      </c>
      <c r="D439" t="s">
        <v>521</v>
      </c>
      <c r="E439">
        <v>7</v>
      </c>
      <c r="F439">
        <v>10</v>
      </c>
      <c r="G439">
        <v>14</v>
      </c>
      <c r="H439">
        <v>18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16</v>
      </c>
      <c r="O439">
        <v>0</v>
      </c>
      <c r="P439">
        <v>0</v>
      </c>
      <c r="Q439">
        <v>0</v>
      </c>
      <c r="R439">
        <v>0</v>
      </c>
      <c r="S439">
        <v>0</v>
      </c>
      <c r="T439" t="s">
        <v>56</v>
      </c>
      <c r="U439" t="s">
        <v>64</v>
      </c>
      <c r="V439">
        <v>0</v>
      </c>
      <c r="W439">
        <v>0</v>
      </c>
      <c r="X439">
        <v>0</v>
      </c>
      <c r="Y439">
        <v>0</v>
      </c>
      <c r="AA439">
        <v>0</v>
      </c>
      <c r="AB439">
        <v>0</v>
      </c>
    </row>
    <row r="440" spans="1:28" x14ac:dyDescent="0.4">
      <c r="A440">
        <v>546</v>
      </c>
      <c r="B440">
        <v>0</v>
      </c>
      <c r="C440" t="s">
        <v>65</v>
      </c>
      <c r="D440" t="s">
        <v>522</v>
      </c>
      <c r="E440">
        <v>3</v>
      </c>
      <c r="F440">
        <v>5</v>
      </c>
      <c r="G440">
        <v>7</v>
      </c>
      <c r="H440">
        <v>7</v>
      </c>
      <c r="I440">
        <v>0</v>
      </c>
      <c r="J440">
        <v>0</v>
      </c>
      <c r="K440">
        <v>0</v>
      </c>
      <c r="L440">
        <v>8</v>
      </c>
      <c r="M440">
        <v>0</v>
      </c>
      <c r="N440">
        <v>7</v>
      </c>
      <c r="O440">
        <v>0</v>
      </c>
      <c r="P440">
        <v>0</v>
      </c>
      <c r="Q440">
        <v>0</v>
      </c>
      <c r="R440">
        <v>0</v>
      </c>
      <c r="S440">
        <v>10</v>
      </c>
      <c r="T440" t="s">
        <v>56</v>
      </c>
      <c r="U440" t="s">
        <v>64</v>
      </c>
      <c r="V440">
        <v>0</v>
      </c>
      <c r="W440">
        <v>0</v>
      </c>
      <c r="X440">
        <v>0</v>
      </c>
      <c r="Y440">
        <v>0</v>
      </c>
      <c r="AA440">
        <v>0</v>
      </c>
      <c r="AB440">
        <v>0</v>
      </c>
    </row>
    <row r="441" spans="1:28" x14ac:dyDescent="0.4">
      <c r="A441">
        <v>547</v>
      </c>
      <c r="B441">
        <v>0</v>
      </c>
      <c r="C441" t="s">
        <v>59</v>
      </c>
      <c r="D441" t="s">
        <v>523</v>
      </c>
      <c r="E441">
        <v>3</v>
      </c>
      <c r="F441">
        <v>5</v>
      </c>
      <c r="G441">
        <v>6</v>
      </c>
      <c r="H441">
        <v>6</v>
      </c>
      <c r="I441">
        <v>0</v>
      </c>
      <c r="J441">
        <v>0</v>
      </c>
      <c r="K441">
        <v>0</v>
      </c>
      <c r="L441">
        <v>10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1</v>
      </c>
      <c r="S441">
        <v>0</v>
      </c>
      <c r="T441" t="s">
        <v>56</v>
      </c>
      <c r="U441" t="s">
        <v>64</v>
      </c>
      <c r="V441">
        <v>0</v>
      </c>
      <c r="W441">
        <v>0</v>
      </c>
      <c r="X441">
        <v>0</v>
      </c>
      <c r="Y441">
        <v>0</v>
      </c>
      <c r="AA441">
        <v>0</v>
      </c>
      <c r="AB441">
        <v>0</v>
      </c>
    </row>
    <row r="442" spans="1:28" x14ac:dyDescent="0.4">
      <c r="A442">
        <v>548</v>
      </c>
      <c r="B442">
        <v>0</v>
      </c>
      <c r="C442" t="s">
        <v>65</v>
      </c>
      <c r="D442" t="s">
        <v>524</v>
      </c>
      <c r="E442">
        <v>3</v>
      </c>
      <c r="F442">
        <v>5</v>
      </c>
      <c r="G442">
        <v>7</v>
      </c>
      <c r="H442">
        <v>7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4</v>
      </c>
      <c r="O442">
        <v>0</v>
      </c>
      <c r="P442">
        <v>3</v>
      </c>
      <c r="Q442">
        <v>0</v>
      </c>
      <c r="R442">
        <v>3</v>
      </c>
      <c r="S442">
        <v>11</v>
      </c>
      <c r="T442" t="s">
        <v>56</v>
      </c>
      <c r="U442" t="s">
        <v>64</v>
      </c>
      <c r="V442">
        <v>0</v>
      </c>
      <c r="W442">
        <v>0</v>
      </c>
      <c r="X442">
        <v>0</v>
      </c>
      <c r="Y442">
        <v>0</v>
      </c>
      <c r="AA442">
        <v>0</v>
      </c>
      <c r="AB442">
        <v>0</v>
      </c>
    </row>
    <row r="443" spans="1:28" x14ac:dyDescent="0.4">
      <c r="A443">
        <v>549</v>
      </c>
      <c r="B443">
        <v>0</v>
      </c>
      <c r="C443" t="s">
        <v>54</v>
      </c>
      <c r="D443" t="s">
        <v>525</v>
      </c>
      <c r="E443">
        <v>3</v>
      </c>
      <c r="F443">
        <v>5</v>
      </c>
      <c r="G443">
        <v>8</v>
      </c>
      <c r="H443">
        <v>8</v>
      </c>
      <c r="I443">
        <v>0</v>
      </c>
      <c r="J443">
        <v>0</v>
      </c>
      <c r="K443">
        <v>13</v>
      </c>
      <c r="L443">
        <v>4</v>
      </c>
      <c r="M443">
        <v>0</v>
      </c>
      <c r="N443">
        <v>5</v>
      </c>
      <c r="O443">
        <v>0</v>
      </c>
      <c r="P443">
        <v>5</v>
      </c>
      <c r="Q443">
        <v>0</v>
      </c>
      <c r="R443">
        <v>2</v>
      </c>
      <c r="S443">
        <v>0</v>
      </c>
      <c r="T443" t="s">
        <v>56</v>
      </c>
      <c r="U443" t="s">
        <v>64</v>
      </c>
      <c r="V443">
        <v>0</v>
      </c>
      <c r="W443">
        <v>0</v>
      </c>
      <c r="X443">
        <v>0</v>
      </c>
      <c r="Y443">
        <v>0</v>
      </c>
      <c r="AA443">
        <v>0</v>
      </c>
      <c r="AB443">
        <v>0</v>
      </c>
    </row>
    <row r="444" spans="1:28" x14ac:dyDescent="0.4">
      <c r="A444">
        <v>550</v>
      </c>
      <c r="B444">
        <v>0</v>
      </c>
      <c r="C444" t="s">
        <v>28</v>
      </c>
      <c r="D444" t="s">
        <v>526</v>
      </c>
      <c r="E444">
        <v>1</v>
      </c>
      <c r="F444">
        <v>1</v>
      </c>
      <c r="G444">
        <v>1</v>
      </c>
      <c r="H444">
        <v>16</v>
      </c>
      <c r="I444">
        <v>0</v>
      </c>
      <c r="J444">
        <v>2</v>
      </c>
      <c r="K444">
        <v>0</v>
      </c>
      <c r="L444">
        <v>9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3</v>
      </c>
      <c r="S444">
        <v>0</v>
      </c>
      <c r="T444" t="s">
        <v>36</v>
      </c>
      <c r="U444" t="s">
        <v>64</v>
      </c>
      <c r="V444">
        <v>0</v>
      </c>
      <c r="W444">
        <v>0</v>
      </c>
      <c r="X444">
        <v>0</v>
      </c>
      <c r="Y444">
        <v>0</v>
      </c>
      <c r="AA444">
        <v>0</v>
      </c>
      <c r="AB444">
        <v>0</v>
      </c>
    </row>
    <row r="445" spans="1:28" x14ac:dyDescent="0.4">
      <c r="A445">
        <v>551</v>
      </c>
      <c r="B445">
        <v>0</v>
      </c>
      <c r="C445" t="s">
        <v>39</v>
      </c>
      <c r="D445" t="s">
        <v>527</v>
      </c>
      <c r="E445">
        <v>1</v>
      </c>
      <c r="F445">
        <v>1</v>
      </c>
      <c r="G445">
        <v>3</v>
      </c>
      <c r="H445">
        <v>3</v>
      </c>
      <c r="I445">
        <v>0</v>
      </c>
      <c r="J445">
        <v>27</v>
      </c>
      <c r="K445">
        <v>0</v>
      </c>
      <c r="L445">
        <v>4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3</v>
      </c>
      <c r="S445">
        <v>0</v>
      </c>
      <c r="T445" t="s">
        <v>41</v>
      </c>
      <c r="U445" t="s">
        <v>80</v>
      </c>
      <c r="V445">
        <v>0</v>
      </c>
      <c r="W445">
        <v>0</v>
      </c>
      <c r="X445">
        <v>0</v>
      </c>
      <c r="Y445">
        <v>0</v>
      </c>
      <c r="AA445">
        <v>0</v>
      </c>
      <c r="AB445">
        <v>0</v>
      </c>
    </row>
    <row r="446" spans="1:28" x14ac:dyDescent="0.4">
      <c r="A446">
        <v>552</v>
      </c>
      <c r="B446">
        <v>0</v>
      </c>
      <c r="C446" t="s">
        <v>39</v>
      </c>
      <c r="D446" t="s">
        <v>528</v>
      </c>
      <c r="E446">
        <v>1</v>
      </c>
      <c r="F446">
        <v>1</v>
      </c>
      <c r="G446">
        <v>3</v>
      </c>
      <c r="H446">
        <v>3</v>
      </c>
      <c r="I446">
        <v>0</v>
      </c>
      <c r="J446">
        <v>13</v>
      </c>
      <c r="K446">
        <v>0</v>
      </c>
      <c r="L446">
        <v>0</v>
      </c>
      <c r="M446">
        <v>3</v>
      </c>
      <c r="N446">
        <v>0</v>
      </c>
      <c r="O446">
        <v>0</v>
      </c>
      <c r="P446">
        <v>0</v>
      </c>
      <c r="Q446">
        <v>0</v>
      </c>
      <c r="R446">
        <v>4</v>
      </c>
      <c r="S446">
        <v>0</v>
      </c>
      <c r="T446" t="s">
        <v>41</v>
      </c>
      <c r="U446" t="s">
        <v>45</v>
      </c>
      <c r="V446">
        <v>0</v>
      </c>
      <c r="W446">
        <v>0</v>
      </c>
      <c r="X446">
        <v>0</v>
      </c>
      <c r="Y446">
        <v>0</v>
      </c>
      <c r="AA446">
        <v>0</v>
      </c>
      <c r="AB446">
        <v>0</v>
      </c>
    </row>
    <row r="447" spans="1:28" x14ac:dyDescent="0.4">
      <c r="A447">
        <v>553</v>
      </c>
      <c r="B447">
        <v>0</v>
      </c>
      <c r="C447" t="s">
        <v>28</v>
      </c>
      <c r="D447" t="s">
        <v>529</v>
      </c>
      <c r="E447">
        <v>1</v>
      </c>
      <c r="F447">
        <v>1</v>
      </c>
      <c r="G447">
        <v>1</v>
      </c>
      <c r="H447">
        <v>16</v>
      </c>
      <c r="I447">
        <v>0</v>
      </c>
      <c r="J447">
        <v>5</v>
      </c>
      <c r="K447">
        <v>0</v>
      </c>
      <c r="L447">
        <v>15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5</v>
      </c>
      <c r="S447">
        <v>0</v>
      </c>
      <c r="T447" t="s">
        <v>36</v>
      </c>
      <c r="U447" t="s">
        <v>80</v>
      </c>
      <c r="V447">
        <v>0</v>
      </c>
      <c r="W447">
        <v>0</v>
      </c>
      <c r="X447">
        <v>0</v>
      </c>
      <c r="Y447">
        <v>0</v>
      </c>
      <c r="AA447">
        <v>0</v>
      </c>
      <c r="AB447">
        <v>0</v>
      </c>
    </row>
    <row r="448" spans="1:28" x14ac:dyDescent="0.4">
      <c r="A448">
        <v>554</v>
      </c>
      <c r="B448">
        <v>0</v>
      </c>
      <c r="C448" t="s">
        <v>70</v>
      </c>
      <c r="D448" t="s">
        <v>530</v>
      </c>
      <c r="E448">
        <v>5</v>
      </c>
      <c r="F448">
        <v>7</v>
      </c>
      <c r="G448">
        <v>11</v>
      </c>
      <c r="H448">
        <v>10</v>
      </c>
      <c r="I448">
        <v>0</v>
      </c>
      <c r="J448">
        <v>0</v>
      </c>
      <c r="K448">
        <v>0</v>
      </c>
      <c r="L448">
        <v>4</v>
      </c>
      <c r="M448">
        <v>0</v>
      </c>
      <c r="N448">
        <v>8</v>
      </c>
      <c r="O448">
        <v>0</v>
      </c>
      <c r="P448">
        <v>6</v>
      </c>
      <c r="Q448">
        <v>0</v>
      </c>
      <c r="R448">
        <v>1</v>
      </c>
      <c r="S448">
        <v>8</v>
      </c>
      <c r="T448" t="s">
        <v>56</v>
      </c>
      <c r="U448" t="s">
        <v>45</v>
      </c>
      <c r="V448">
        <v>0</v>
      </c>
      <c r="W448">
        <v>0</v>
      </c>
      <c r="X448">
        <v>0</v>
      </c>
      <c r="Y448">
        <v>0</v>
      </c>
      <c r="AA448">
        <v>0</v>
      </c>
      <c r="AB448">
        <v>0</v>
      </c>
    </row>
    <row r="449" spans="1:28" x14ac:dyDescent="0.4">
      <c r="A449">
        <v>555</v>
      </c>
      <c r="B449">
        <v>0</v>
      </c>
      <c r="C449" t="s">
        <v>70</v>
      </c>
      <c r="D449" t="s">
        <v>531</v>
      </c>
      <c r="E449">
        <v>5</v>
      </c>
      <c r="F449">
        <v>7</v>
      </c>
      <c r="G449">
        <v>11</v>
      </c>
      <c r="H449">
        <v>10</v>
      </c>
      <c r="I449">
        <v>0</v>
      </c>
      <c r="J449">
        <v>0</v>
      </c>
      <c r="K449">
        <v>0</v>
      </c>
      <c r="L449">
        <v>9</v>
      </c>
      <c r="M449">
        <v>0</v>
      </c>
      <c r="N449">
        <v>10</v>
      </c>
      <c r="O449">
        <v>0</v>
      </c>
      <c r="P449">
        <v>7</v>
      </c>
      <c r="Q449">
        <v>0</v>
      </c>
      <c r="R449">
        <v>3</v>
      </c>
      <c r="S449">
        <v>13</v>
      </c>
      <c r="T449" t="s">
        <v>56</v>
      </c>
      <c r="U449" t="s">
        <v>80</v>
      </c>
      <c r="V449">
        <v>0</v>
      </c>
      <c r="W449">
        <v>0</v>
      </c>
      <c r="X449">
        <v>0</v>
      </c>
      <c r="Y449">
        <v>0</v>
      </c>
      <c r="AA449">
        <v>0</v>
      </c>
      <c r="AB449">
        <v>0</v>
      </c>
    </row>
    <row r="450" spans="1:28" x14ac:dyDescent="0.4">
      <c r="A450">
        <v>556</v>
      </c>
      <c r="B450">
        <v>0</v>
      </c>
      <c r="C450" t="s">
        <v>59</v>
      </c>
      <c r="D450" t="s">
        <v>532</v>
      </c>
      <c r="E450">
        <v>3</v>
      </c>
      <c r="F450">
        <v>5</v>
      </c>
      <c r="G450">
        <v>6</v>
      </c>
      <c r="H450">
        <v>6</v>
      </c>
      <c r="I450">
        <v>0</v>
      </c>
      <c r="J450">
        <v>0</v>
      </c>
      <c r="K450">
        <v>0</v>
      </c>
      <c r="L450">
        <v>12</v>
      </c>
      <c r="M450">
        <v>0</v>
      </c>
      <c r="N450">
        <v>0</v>
      </c>
      <c r="O450">
        <v>2</v>
      </c>
      <c r="P450">
        <v>0</v>
      </c>
      <c r="Q450">
        <v>0</v>
      </c>
      <c r="R450">
        <v>2</v>
      </c>
      <c r="S450">
        <v>0</v>
      </c>
      <c r="T450" t="s">
        <v>56</v>
      </c>
      <c r="U450" t="s">
        <v>80</v>
      </c>
      <c r="V450">
        <v>0</v>
      </c>
      <c r="W450">
        <v>0</v>
      </c>
      <c r="X450">
        <v>0</v>
      </c>
      <c r="Y450">
        <v>0</v>
      </c>
      <c r="AA450">
        <v>0</v>
      </c>
      <c r="AB450">
        <v>0</v>
      </c>
    </row>
    <row r="451" spans="1:28" x14ac:dyDescent="0.4">
      <c r="A451">
        <v>557</v>
      </c>
      <c r="B451">
        <v>0</v>
      </c>
      <c r="C451" t="s">
        <v>65</v>
      </c>
      <c r="D451" t="s">
        <v>533</v>
      </c>
      <c r="E451">
        <v>3</v>
      </c>
      <c r="F451">
        <v>5</v>
      </c>
      <c r="G451">
        <v>7</v>
      </c>
      <c r="H451">
        <v>7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8</v>
      </c>
      <c r="O451">
        <v>0</v>
      </c>
      <c r="P451">
        <v>5</v>
      </c>
      <c r="Q451">
        <v>0</v>
      </c>
      <c r="R451">
        <v>4</v>
      </c>
      <c r="S451">
        <v>15</v>
      </c>
      <c r="T451" t="s">
        <v>56</v>
      </c>
      <c r="U451" t="s">
        <v>80</v>
      </c>
      <c r="V451">
        <v>0</v>
      </c>
      <c r="W451">
        <v>0</v>
      </c>
      <c r="X451">
        <v>0</v>
      </c>
      <c r="Y451">
        <v>0</v>
      </c>
      <c r="AA451">
        <v>0</v>
      </c>
      <c r="AB451">
        <v>0</v>
      </c>
    </row>
    <row r="452" spans="1:28" x14ac:dyDescent="0.4">
      <c r="A452">
        <v>558</v>
      </c>
      <c r="B452">
        <v>0</v>
      </c>
      <c r="C452" t="s">
        <v>54</v>
      </c>
      <c r="D452" t="s">
        <v>534</v>
      </c>
      <c r="E452">
        <v>3</v>
      </c>
      <c r="F452">
        <v>5</v>
      </c>
      <c r="G452">
        <v>8</v>
      </c>
      <c r="H452">
        <v>8</v>
      </c>
      <c r="I452">
        <v>0</v>
      </c>
      <c r="J452">
        <v>0</v>
      </c>
      <c r="K452">
        <v>16</v>
      </c>
      <c r="L452">
        <v>5</v>
      </c>
      <c r="M452">
        <v>0</v>
      </c>
      <c r="N452">
        <v>9</v>
      </c>
      <c r="O452">
        <v>0</v>
      </c>
      <c r="P452">
        <v>6</v>
      </c>
      <c r="Q452">
        <v>0</v>
      </c>
      <c r="R452">
        <v>3</v>
      </c>
      <c r="S452">
        <v>0</v>
      </c>
      <c r="T452" t="s">
        <v>56</v>
      </c>
      <c r="U452" t="s">
        <v>80</v>
      </c>
      <c r="V452">
        <v>0</v>
      </c>
      <c r="W452">
        <v>0</v>
      </c>
      <c r="X452">
        <v>0</v>
      </c>
      <c r="Y452">
        <v>0</v>
      </c>
      <c r="AA452">
        <v>0</v>
      </c>
      <c r="AB452">
        <v>0</v>
      </c>
    </row>
    <row r="453" spans="1:28" x14ac:dyDescent="0.4">
      <c r="A453">
        <v>559</v>
      </c>
      <c r="B453">
        <v>0</v>
      </c>
      <c r="C453" t="s">
        <v>100</v>
      </c>
      <c r="D453" t="s">
        <v>535</v>
      </c>
      <c r="E453">
        <v>7</v>
      </c>
      <c r="F453">
        <v>10</v>
      </c>
      <c r="G453">
        <v>14</v>
      </c>
      <c r="H453">
        <v>18</v>
      </c>
      <c r="I453">
        <v>0</v>
      </c>
      <c r="J453">
        <v>0</v>
      </c>
      <c r="K453">
        <v>0</v>
      </c>
      <c r="L453">
        <v>6</v>
      </c>
      <c r="M453">
        <v>0</v>
      </c>
      <c r="N453">
        <v>20</v>
      </c>
      <c r="O453">
        <v>3</v>
      </c>
      <c r="P453">
        <v>3</v>
      </c>
      <c r="Q453">
        <v>0</v>
      </c>
      <c r="R453">
        <v>5</v>
      </c>
      <c r="S453">
        <v>0</v>
      </c>
      <c r="T453" t="s">
        <v>56</v>
      </c>
      <c r="U453" t="s">
        <v>64</v>
      </c>
      <c r="V453">
        <v>0</v>
      </c>
      <c r="W453">
        <v>0</v>
      </c>
      <c r="X453">
        <v>0</v>
      </c>
      <c r="Y453">
        <v>0</v>
      </c>
      <c r="AA453">
        <v>0</v>
      </c>
      <c r="AB453">
        <v>0</v>
      </c>
    </row>
    <row r="454" spans="1:28" x14ac:dyDescent="0.4">
      <c r="A454">
        <v>560</v>
      </c>
      <c r="B454">
        <v>0</v>
      </c>
      <c r="C454" t="s">
        <v>136</v>
      </c>
      <c r="D454" t="s">
        <v>536</v>
      </c>
      <c r="E454">
        <v>8</v>
      </c>
      <c r="F454">
        <v>18</v>
      </c>
      <c r="G454">
        <v>29</v>
      </c>
      <c r="H454">
        <v>24</v>
      </c>
      <c r="I454">
        <v>0</v>
      </c>
      <c r="J454">
        <v>2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2</v>
      </c>
      <c r="Q454">
        <v>0</v>
      </c>
      <c r="R454">
        <v>0</v>
      </c>
      <c r="S454">
        <v>0</v>
      </c>
      <c r="T454" t="s">
        <v>56</v>
      </c>
      <c r="U454" t="s">
        <v>20</v>
      </c>
      <c r="V454">
        <v>0</v>
      </c>
      <c r="W454">
        <v>0</v>
      </c>
      <c r="X454">
        <v>0</v>
      </c>
      <c r="Y454">
        <v>0</v>
      </c>
      <c r="AA454">
        <v>0</v>
      </c>
      <c r="AB454">
        <v>0</v>
      </c>
    </row>
    <row r="455" spans="1:28" x14ac:dyDescent="0.4">
      <c r="A455">
        <v>561</v>
      </c>
      <c r="B455">
        <v>0</v>
      </c>
      <c r="C455" t="s">
        <v>65</v>
      </c>
      <c r="D455" t="s">
        <v>537</v>
      </c>
      <c r="E455">
        <v>3</v>
      </c>
      <c r="F455">
        <v>5</v>
      </c>
      <c r="G455">
        <v>7</v>
      </c>
      <c r="H455">
        <v>7</v>
      </c>
      <c r="I455">
        <v>0</v>
      </c>
      <c r="J455">
        <v>0</v>
      </c>
      <c r="K455">
        <v>0</v>
      </c>
      <c r="L455">
        <v>3</v>
      </c>
      <c r="M455">
        <v>0</v>
      </c>
      <c r="N455">
        <v>5</v>
      </c>
      <c r="O455">
        <v>0</v>
      </c>
      <c r="P455">
        <v>3</v>
      </c>
      <c r="Q455">
        <v>0</v>
      </c>
      <c r="R455">
        <v>1</v>
      </c>
      <c r="S455">
        <v>11</v>
      </c>
      <c r="T455" t="s">
        <v>56</v>
      </c>
      <c r="U455" t="s">
        <v>45</v>
      </c>
      <c r="V455">
        <v>0</v>
      </c>
      <c r="W455">
        <v>0</v>
      </c>
      <c r="X455">
        <v>0</v>
      </c>
      <c r="Y455">
        <v>0</v>
      </c>
      <c r="AA455">
        <v>0</v>
      </c>
      <c r="AB455">
        <v>0</v>
      </c>
    </row>
    <row r="456" spans="1:28" x14ac:dyDescent="0.4">
      <c r="A456">
        <v>562</v>
      </c>
      <c r="B456">
        <v>0</v>
      </c>
      <c r="C456" t="s">
        <v>65</v>
      </c>
      <c r="D456" t="s">
        <v>538</v>
      </c>
      <c r="E456">
        <v>3</v>
      </c>
      <c r="F456">
        <v>5</v>
      </c>
      <c r="G456">
        <v>7</v>
      </c>
      <c r="H456">
        <v>7</v>
      </c>
      <c r="I456">
        <v>0</v>
      </c>
      <c r="J456">
        <v>0</v>
      </c>
      <c r="K456">
        <v>0</v>
      </c>
      <c r="L456">
        <v>5</v>
      </c>
      <c r="M456">
        <v>0</v>
      </c>
      <c r="N456">
        <v>7</v>
      </c>
      <c r="O456">
        <v>0</v>
      </c>
      <c r="P456">
        <v>4</v>
      </c>
      <c r="Q456">
        <v>0</v>
      </c>
      <c r="R456">
        <v>2</v>
      </c>
      <c r="S456">
        <v>16</v>
      </c>
      <c r="T456" t="s">
        <v>56</v>
      </c>
      <c r="U456" t="s">
        <v>64</v>
      </c>
      <c r="V456">
        <v>0</v>
      </c>
      <c r="W456">
        <v>0</v>
      </c>
      <c r="X456">
        <v>0</v>
      </c>
      <c r="Y456">
        <v>0</v>
      </c>
      <c r="AA456">
        <v>0</v>
      </c>
      <c r="AB456">
        <v>0</v>
      </c>
    </row>
    <row r="457" spans="1:28" x14ac:dyDescent="0.4">
      <c r="A457">
        <v>563</v>
      </c>
      <c r="B457">
        <v>0</v>
      </c>
      <c r="C457" t="s">
        <v>34</v>
      </c>
      <c r="D457" t="s">
        <v>539</v>
      </c>
      <c r="E457">
        <v>1</v>
      </c>
      <c r="F457">
        <v>1</v>
      </c>
      <c r="G457">
        <v>2</v>
      </c>
      <c r="H457">
        <v>2</v>
      </c>
      <c r="I457">
        <v>0</v>
      </c>
      <c r="J457">
        <v>8</v>
      </c>
      <c r="K457">
        <v>0</v>
      </c>
      <c r="L457">
        <v>1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-1</v>
      </c>
      <c r="S457">
        <v>0</v>
      </c>
      <c r="T457" t="s">
        <v>41</v>
      </c>
      <c r="U457" t="s">
        <v>80</v>
      </c>
      <c r="V457">
        <v>0</v>
      </c>
      <c r="W457">
        <v>0</v>
      </c>
      <c r="X457">
        <v>0</v>
      </c>
      <c r="Y457">
        <v>0</v>
      </c>
      <c r="AA457">
        <v>0</v>
      </c>
      <c r="AB457">
        <v>0</v>
      </c>
    </row>
    <row r="458" spans="1:28" x14ac:dyDescent="0.4">
      <c r="A458">
        <v>564</v>
      </c>
      <c r="B458">
        <v>0</v>
      </c>
      <c r="C458" t="s">
        <v>68</v>
      </c>
      <c r="D458" t="s">
        <v>540</v>
      </c>
      <c r="E458">
        <v>5</v>
      </c>
      <c r="F458">
        <v>7</v>
      </c>
      <c r="G458">
        <v>10</v>
      </c>
      <c r="H458">
        <v>10</v>
      </c>
      <c r="I458">
        <v>0</v>
      </c>
      <c r="J458">
        <v>0</v>
      </c>
      <c r="K458">
        <v>0</v>
      </c>
      <c r="L458">
        <v>2</v>
      </c>
      <c r="M458">
        <v>0</v>
      </c>
      <c r="N458">
        <v>2</v>
      </c>
      <c r="O458">
        <v>0</v>
      </c>
      <c r="P458">
        <v>5</v>
      </c>
      <c r="Q458">
        <v>0</v>
      </c>
      <c r="R458">
        <v>5</v>
      </c>
      <c r="S458">
        <v>0</v>
      </c>
      <c r="T458" t="s">
        <v>56</v>
      </c>
      <c r="U458" t="s">
        <v>64</v>
      </c>
      <c r="V458">
        <v>0</v>
      </c>
      <c r="W458">
        <v>0</v>
      </c>
      <c r="X458">
        <v>0</v>
      </c>
      <c r="Y458">
        <v>0</v>
      </c>
      <c r="AA458">
        <v>0</v>
      </c>
      <c r="AB458">
        <v>0</v>
      </c>
    </row>
    <row r="459" spans="1:28" x14ac:dyDescent="0.4">
      <c r="A459">
        <v>565</v>
      </c>
      <c r="B459">
        <v>0</v>
      </c>
      <c r="C459" t="s">
        <v>28</v>
      </c>
      <c r="D459" t="s">
        <v>541</v>
      </c>
      <c r="E459">
        <v>1</v>
      </c>
      <c r="F459">
        <v>1</v>
      </c>
      <c r="G459">
        <v>1</v>
      </c>
      <c r="H459">
        <v>1</v>
      </c>
      <c r="I459">
        <v>0</v>
      </c>
      <c r="J459">
        <v>3</v>
      </c>
      <c r="K459">
        <v>0</v>
      </c>
      <c r="L459">
        <v>0</v>
      </c>
      <c r="M459">
        <v>2</v>
      </c>
      <c r="N459">
        <v>0</v>
      </c>
      <c r="O459">
        <v>0</v>
      </c>
      <c r="P459">
        <v>0</v>
      </c>
      <c r="Q459">
        <v>0</v>
      </c>
      <c r="R459">
        <v>3</v>
      </c>
      <c r="S459">
        <v>0</v>
      </c>
      <c r="T459" t="s">
        <v>36</v>
      </c>
      <c r="U459" t="s">
        <v>45</v>
      </c>
      <c r="V459">
        <v>0</v>
      </c>
      <c r="W459">
        <v>0</v>
      </c>
      <c r="X459">
        <v>0</v>
      </c>
      <c r="Y459">
        <v>0</v>
      </c>
      <c r="AA459">
        <v>0</v>
      </c>
      <c r="AB459">
        <v>0</v>
      </c>
    </row>
    <row r="460" spans="1:28" x14ac:dyDescent="0.4">
      <c r="A460">
        <v>566</v>
      </c>
      <c r="B460">
        <v>0</v>
      </c>
      <c r="C460" t="s">
        <v>65</v>
      </c>
      <c r="D460" t="s">
        <v>542</v>
      </c>
      <c r="E460">
        <v>3</v>
      </c>
      <c r="F460">
        <v>5</v>
      </c>
      <c r="G460">
        <v>7</v>
      </c>
      <c r="H460">
        <v>7</v>
      </c>
      <c r="I460">
        <v>0</v>
      </c>
      <c r="J460">
        <v>0</v>
      </c>
      <c r="K460">
        <v>0</v>
      </c>
      <c r="L460">
        <v>7</v>
      </c>
      <c r="M460">
        <v>0</v>
      </c>
      <c r="N460">
        <v>2</v>
      </c>
      <c r="O460">
        <v>0</v>
      </c>
      <c r="P460">
        <v>0</v>
      </c>
      <c r="Q460">
        <v>0</v>
      </c>
      <c r="R460">
        <v>2</v>
      </c>
      <c r="S460">
        <v>8</v>
      </c>
      <c r="T460" t="s">
        <v>56</v>
      </c>
      <c r="U460" t="s">
        <v>64</v>
      </c>
      <c r="V460">
        <v>0</v>
      </c>
      <c r="W460">
        <v>0</v>
      </c>
      <c r="X460">
        <v>0</v>
      </c>
      <c r="Y460">
        <v>0</v>
      </c>
      <c r="AA460">
        <v>0</v>
      </c>
      <c r="AB460">
        <v>0</v>
      </c>
    </row>
    <row r="461" spans="1:28" x14ac:dyDescent="0.4">
      <c r="A461">
        <v>567</v>
      </c>
      <c r="B461">
        <v>0</v>
      </c>
      <c r="C461" t="s">
        <v>76</v>
      </c>
      <c r="D461" t="s">
        <v>543</v>
      </c>
      <c r="E461">
        <v>5</v>
      </c>
      <c r="F461">
        <v>8</v>
      </c>
      <c r="G461">
        <v>13</v>
      </c>
      <c r="H461">
        <v>11</v>
      </c>
      <c r="I461">
        <v>0</v>
      </c>
      <c r="J461">
        <v>0</v>
      </c>
      <c r="K461">
        <v>0</v>
      </c>
      <c r="L461">
        <v>4</v>
      </c>
      <c r="M461">
        <v>0</v>
      </c>
      <c r="N461">
        <v>0</v>
      </c>
      <c r="O461">
        <v>0</v>
      </c>
      <c r="P461">
        <v>8</v>
      </c>
      <c r="Q461">
        <v>0</v>
      </c>
      <c r="R461">
        <v>16</v>
      </c>
      <c r="S461">
        <v>0</v>
      </c>
      <c r="T461" t="s">
        <v>56</v>
      </c>
      <c r="U461" t="s">
        <v>64</v>
      </c>
      <c r="V461">
        <v>0</v>
      </c>
      <c r="W461">
        <v>0</v>
      </c>
      <c r="X461">
        <v>0</v>
      </c>
      <c r="Y461">
        <v>0</v>
      </c>
      <c r="AA461">
        <v>0</v>
      </c>
      <c r="AB461">
        <v>0</v>
      </c>
    </row>
    <row r="462" spans="1:28" x14ac:dyDescent="0.4">
      <c r="A462">
        <v>568</v>
      </c>
      <c r="B462">
        <v>0</v>
      </c>
      <c r="C462" t="s">
        <v>39</v>
      </c>
      <c r="D462" t="s">
        <v>486</v>
      </c>
      <c r="E462">
        <v>1</v>
      </c>
      <c r="F462">
        <v>1</v>
      </c>
      <c r="G462">
        <v>3</v>
      </c>
      <c r="H462">
        <v>3</v>
      </c>
      <c r="I462">
        <v>0</v>
      </c>
      <c r="J462">
        <v>24</v>
      </c>
      <c r="K462">
        <v>0</v>
      </c>
      <c r="L462">
        <v>3</v>
      </c>
      <c r="M462">
        <v>1</v>
      </c>
      <c r="N462">
        <v>0</v>
      </c>
      <c r="O462">
        <v>0</v>
      </c>
      <c r="P462">
        <v>0</v>
      </c>
      <c r="Q462">
        <v>0</v>
      </c>
      <c r="R462">
        <v>4</v>
      </c>
      <c r="S462">
        <v>0</v>
      </c>
      <c r="T462" t="s">
        <v>41</v>
      </c>
      <c r="U462" t="s">
        <v>113</v>
      </c>
      <c r="V462">
        <v>0</v>
      </c>
      <c r="W462">
        <v>0</v>
      </c>
      <c r="X462">
        <v>0</v>
      </c>
      <c r="Y462">
        <v>0</v>
      </c>
      <c r="AA462">
        <v>0</v>
      </c>
      <c r="AB462">
        <v>0</v>
      </c>
    </row>
    <row r="463" spans="1:28" x14ac:dyDescent="0.4">
      <c r="A463">
        <v>569</v>
      </c>
      <c r="B463">
        <v>0</v>
      </c>
      <c r="C463" t="s">
        <v>68</v>
      </c>
      <c r="D463" t="s">
        <v>544</v>
      </c>
      <c r="E463">
        <v>5</v>
      </c>
      <c r="F463">
        <v>7</v>
      </c>
      <c r="G463">
        <v>10</v>
      </c>
      <c r="H463">
        <v>10</v>
      </c>
      <c r="I463">
        <v>0</v>
      </c>
      <c r="J463">
        <v>3</v>
      </c>
      <c r="K463">
        <v>0</v>
      </c>
      <c r="L463">
        <v>1</v>
      </c>
      <c r="M463">
        <v>0</v>
      </c>
      <c r="N463">
        <v>2</v>
      </c>
      <c r="O463">
        <v>0</v>
      </c>
      <c r="P463">
        <v>9</v>
      </c>
      <c r="Q463">
        <v>0</v>
      </c>
      <c r="R463">
        <v>8</v>
      </c>
      <c r="S463">
        <v>0</v>
      </c>
      <c r="T463" t="s">
        <v>56</v>
      </c>
      <c r="U463" t="s">
        <v>80</v>
      </c>
      <c r="V463">
        <v>0</v>
      </c>
      <c r="W463">
        <v>0</v>
      </c>
      <c r="X463">
        <v>0</v>
      </c>
      <c r="Y463">
        <v>0</v>
      </c>
      <c r="AA463">
        <v>0</v>
      </c>
      <c r="AB463">
        <v>0</v>
      </c>
    </row>
    <row r="464" spans="1:28" x14ac:dyDescent="0.4">
      <c r="A464">
        <v>570</v>
      </c>
      <c r="B464">
        <v>0</v>
      </c>
      <c r="C464" t="s">
        <v>93</v>
      </c>
      <c r="D464" t="s">
        <v>545</v>
      </c>
      <c r="E464">
        <v>2</v>
      </c>
      <c r="F464">
        <v>3</v>
      </c>
      <c r="G464">
        <v>22</v>
      </c>
      <c r="H464">
        <v>5</v>
      </c>
      <c r="I464">
        <v>0</v>
      </c>
      <c r="J464">
        <v>0</v>
      </c>
      <c r="K464">
        <v>13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3</v>
      </c>
      <c r="S464">
        <v>0</v>
      </c>
      <c r="T464" t="s">
        <v>30</v>
      </c>
      <c r="U464" t="s">
        <v>80</v>
      </c>
      <c r="V464">
        <v>0</v>
      </c>
      <c r="W464">
        <v>0</v>
      </c>
      <c r="X464">
        <v>0</v>
      </c>
      <c r="Y464">
        <v>0</v>
      </c>
      <c r="AA464">
        <v>0</v>
      </c>
      <c r="AB464">
        <v>0</v>
      </c>
    </row>
    <row r="465" spans="1:28" x14ac:dyDescent="0.4">
      <c r="A465">
        <v>571</v>
      </c>
      <c r="B465">
        <v>0</v>
      </c>
      <c r="C465" t="s">
        <v>70</v>
      </c>
      <c r="D465" t="s">
        <v>546</v>
      </c>
      <c r="E465">
        <v>5</v>
      </c>
      <c r="F465">
        <v>7</v>
      </c>
      <c r="G465">
        <v>11</v>
      </c>
      <c r="H465">
        <v>10</v>
      </c>
      <c r="I465">
        <v>0</v>
      </c>
      <c r="J465">
        <v>4</v>
      </c>
      <c r="K465">
        <v>0</v>
      </c>
      <c r="L465">
        <v>11</v>
      </c>
      <c r="M465">
        <v>4</v>
      </c>
      <c r="N465">
        <v>15</v>
      </c>
      <c r="O465">
        <v>0</v>
      </c>
      <c r="P465">
        <v>8</v>
      </c>
      <c r="Q465">
        <v>0</v>
      </c>
      <c r="R465">
        <v>8</v>
      </c>
      <c r="S465">
        <v>15</v>
      </c>
      <c r="T465" t="s">
        <v>44</v>
      </c>
      <c r="U465" t="s">
        <v>113</v>
      </c>
      <c r="V465">
        <v>0</v>
      </c>
      <c r="W465">
        <v>0</v>
      </c>
      <c r="X465">
        <v>0</v>
      </c>
      <c r="Y465">
        <v>0</v>
      </c>
      <c r="AA465">
        <v>0</v>
      </c>
      <c r="AB465">
        <v>0</v>
      </c>
    </row>
    <row r="466" spans="1:28" x14ac:dyDescent="0.4">
      <c r="A466">
        <v>572</v>
      </c>
      <c r="B466">
        <v>0</v>
      </c>
      <c r="C466" t="s">
        <v>59</v>
      </c>
      <c r="D466" t="s">
        <v>547</v>
      </c>
      <c r="E466">
        <v>3</v>
      </c>
      <c r="F466">
        <v>5</v>
      </c>
      <c r="G466">
        <v>6</v>
      </c>
      <c r="H466">
        <v>6</v>
      </c>
      <c r="I466">
        <v>0</v>
      </c>
      <c r="J466">
        <v>8</v>
      </c>
      <c r="K466">
        <v>0</v>
      </c>
      <c r="L466">
        <v>18</v>
      </c>
      <c r="M466">
        <v>8</v>
      </c>
      <c r="N466">
        <v>0</v>
      </c>
      <c r="O466">
        <v>8</v>
      </c>
      <c r="P466">
        <v>0</v>
      </c>
      <c r="Q466">
        <v>0</v>
      </c>
      <c r="R466">
        <v>8</v>
      </c>
      <c r="S466">
        <v>0</v>
      </c>
      <c r="T466" t="s">
        <v>56</v>
      </c>
      <c r="U466" t="s">
        <v>113</v>
      </c>
      <c r="V466">
        <v>0</v>
      </c>
      <c r="W466">
        <v>0</v>
      </c>
      <c r="X466">
        <v>0</v>
      </c>
      <c r="Y466">
        <v>0</v>
      </c>
      <c r="AA466">
        <v>0</v>
      </c>
      <c r="AB466">
        <v>0</v>
      </c>
    </row>
    <row r="467" spans="1:28" x14ac:dyDescent="0.4">
      <c r="A467">
        <v>573</v>
      </c>
      <c r="B467">
        <v>0</v>
      </c>
      <c r="C467" t="s">
        <v>70</v>
      </c>
      <c r="D467" t="s">
        <v>548</v>
      </c>
      <c r="E467">
        <v>5</v>
      </c>
      <c r="F467">
        <v>7</v>
      </c>
      <c r="G467">
        <v>11</v>
      </c>
      <c r="H467">
        <v>10</v>
      </c>
      <c r="I467">
        <v>0</v>
      </c>
      <c r="J467">
        <v>6</v>
      </c>
      <c r="K467">
        <v>0</v>
      </c>
      <c r="L467">
        <v>6</v>
      </c>
      <c r="M467">
        <v>3</v>
      </c>
      <c r="N467">
        <v>9</v>
      </c>
      <c r="O467">
        <v>6</v>
      </c>
      <c r="P467">
        <v>3</v>
      </c>
      <c r="Q467">
        <v>0</v>
      </c>
      <c r="R467">
        <v>12</v>
      </c>
      <c r="S467">
        <v>18</v>
      </c>
      <c r="T467" t="s">
        <v>549</v>
      </c>
      <c r="U467" t="s">
        <v>113</v>
      </c>
      <c r="V467">
        <v>0</v>
      </c>
      <c r="W467">
        <v>0</v>
      </c>
      <c r="X467">
        <v>0</v>
      </c>
      <c r="Y467">
        <v>0</v>
      </c>
      <c r="AA467">
        <v>0</v>
      </c>
      <c r="AB467">
        <v>0</v>
      </c>
    </row>
    <row r="468" spans="1:28" x14ac:dyDescent="0.4">
      <c r="A468">
        <v>574</v>
      </c>
      <c r="B468">
        <v>0</v>
      </c>
      <c r="C468" t="s">
        <v>54</v>
      </c>
      <c r="D468" t="s">
        <v>550</v>
      </c>
      <c r="E468">
        <v>3</v>
      </c>
      <c r="F468">
        <v>5</v>
      </c>
      <c r="G468">
        <v>8</v>
      </c>
      <c r="H468">
        <v>8</v>
      </c>
      <c r="I468">
        <v>0</v>
      </c>
      <c r="J468">
        <v>3</v>
      </c>
      <c r="K468">
        <v>0</v>
      </c>
      <c r="L468">
        <v>8</v>
      </c>
      <c r="M468">
        <v>3</v>
      </c>
      <c r="N468">
        <v>22</v>
      </c>
      <c r="O468">
        <v>3</v>
      </c>
      <c r="P468">
        <v>3</v>
      </c>
      <c r="Q468">
        <v>0</v>
      </c>
      <c r="R468">
        <v>8</v>
      </c>
      <c r="S468">
        <v>14</v>
      </c>
      <c r="T468" t="s">
        <v>44</v>
      </c>
      <c r="U468" t="s">
        <v>113</v>
      </c>
      <c r="V468">
        <v>0</v>
      </c>
      <c r="W468">
        <v>0</v>
      </c>
      <c r="X468">
        <v>0</v>
      </c>
      <c r="Y468">
        <v>0</v>
      </c>
      <c r="AA468">
        <v>0</v>
      </c>
      <c r="AB468">
        <v>0</v>
      </c>
    </row>
    <row r="469" spans="1:28" x14ac:dyDescent="0.4">
      <c r="A469">
        <v>575</v>
      </c>
      <c r="B469">
        <v>0</v>
      </c>
      <c r="C469" t="s">
        <v>54</v>
      </c>
      <c r="D469" t="s">
        <v>551</v>
      </c>
      <c r="E469">
        <v>3</v>
      </c>
      <c r="F469">
        <v>5</v>
      </c>
      <c r="G469">
        <v>8</v>
      </c>
      <c r="H469">
        <v>8</v>
      </c>
      <c r="I469">
        <v>0</v>
      </c>
      <c r="J469">
        <v>5</v>
      </c>
      <c r="K469">
        <v>0</v>
      </c>
      <c r="L469">
        <v>9</v>
      </c>
      <c r="M469">
        <v>3</v>
      </c>
      <c r="N469">
        <v>27</v>
      </c>
      <c r="O469">
        <v>4</v>
      </c>
      <c r="P469">
        <v>3</v>
      </c>
      <c r="Q469">
        <v>0</v>
      </c>
      <c r="R469">
        <v>9</v>
      </c>
      <c r="S469">
        <v>18</v>
      </c>
      <c r="T469" t="s">
        <v>44</v>
      </c>
      <c r="U469" t="s">
        <v>113</v>
      </c>
      <c r="V469">
        <v>0</v>
      </c>
      <c r="W469">
        <v>0</v>
      </c>
      <c r="X469">
        <v>0</v>
      </c>
      <c r="Y469">
        <v>0</v>
      </c>
      <c r="AA469">
        <v>0</v>
      </c>
      <c r="AB469">
        <v>0</v>
      </c>
    </row>
    <row r="470" spans="1:28" x14ac:dyDescent="0.4">
      <c r="A470">
        <v>576</v>
      </c>
      <c r="B470">
        <v>0</v>
      </c>
      <c r="C470" t="s">
        <v>39</v>
      </c>
      <c r="D470" t="s">
        <v>552</v>
      </c>
      <c r="E470">
        <v>1</v>
      </c>
      <c r="F470">
        <v>1</v>
      </c>
      <c r="G470">
        <v>3</v>
      </c>
      <c r="H470">
        <v>3</v>
      </c>
      <c r="I470">
        <v>0</v>
      </c>
      <c r="J470">
        <v>16</v>
      </c>
      <c r="K470">
        <v>0</v>
      </c>
      <c r="L470">
        <v>3</v>
      </c>
      <c r="M470">
        <v>2</v>
      </c>
      <c r="N470">
        <v>0</v>
      </c>
      <c r="O470">
        <v>2</v>
      </c>
      <c r="P470">
        <v>0</v>
      </c>
      <c r="Q470">
        <v>0</v>
      </c>
      <c r="R470">
        <v>9</v>
      </c>
      <c r="S470">
        <v>0</v>
      </c>
      <c r="T470" t="s">
        <v>41</v>
      </c>
      <c r="U470" t="s">
        <v>80</v>
      </c>
      <c r="V470">
        <v>0</v>
      </c>
      <c r="W470">
        <v>0</v>
      </c>
      <c r="X470">
        <v>0</v>
      </c>
      <c r="Y470">
        <v>0</v>
      </c>
      <c r="AA470">
        <v>0</v>
      </c>
      <c r="AB470">
        <v>0</v>
      </c>
    </row>
    <row r="471" spans="1:28" x14ac:dyDescent="0.4">
      <c r="A471">
        <v>577</v>
      </c>
      <c r="B471">
        <v>0</v>
      </c>
      <c r="C471" t="s">
        <v>39</v>
      </c>
      <c r="D471" t="s">
        <v>553</v>
      </c>
      <c r="E471">
        <v>1</v>
      </c>
      <c r="F471">
        <v>1</v>
      </c>
      <c r="G471">
        <v>3</v>
      </c>
      <c r="H471">
        <v>3</v>
      </c>
      <c r="I471">
        <v>0</v>
      </c>
      <c r="J471">
        <v>24</v>
      </c>
      <c r="K471">
        <v>0</v>
      </c>
      <c r="L471">
        <v>4</v>
      </c>
      <c r="M471">
        <v>2</v>
      </c>
      <c r="N471">
        <v>0</v>
      </c>
      <c r="O471">
        <v>1</v>
      </c>
      <c r="P471">
        <v>0</v>
      </c>
      <c r="Q471">
        <v>0</v>
      </c>
      <c r="R471">
        <v>8</v>
      </c>
      <c r="S471">
        <v>0</v>
      </c>
      <c r="T471" t="s">
        <v>41</v>
      </c>
      <c r="U471" t="s">
        <v>113</v>
      </c>
      <c r="V471">
        <v>0</v>
      </c>
      <c r="W471">
        <v>0</v>
      </c>
      <c r="X471">
        <v>0</v>
      </c>
      <c r="Y471">
        <v>0</v>
      </c>
      <c r="AA471">
        <v>0</v>
      </c>
      <c r="AB471">
        <v>0</v>
      </c>
    </row>
    <row r="472" spans="1:28" x14ac:dyDescent="0.4">
      <c r="A472">
        <v>578</v>
      </c>
      <c r="B472">
        <v>0</v>
      </c>
      <c r="C472" t="s">
        <v>39</v>
      </c>
      <c r="D472" t="s">
        <v>554</v>
      </c>
      <c r="E472">
        <v>1</v>
      </c>
      <c r="F472">
        <v>1</v>
      </c>
      <c r="G472">
        <v>3</v>
      </c>
      <c r="H472">
        <v>16</v>
      </c>
      <c r="I472">
        <v>0</v>
      </c>
      <c r="J472">
        <v>19</v>
      </c>
      <c r="K472">
        <v>0</v>
      </c>
      <c r="L472">
        <v>8</v>
      </c>
      <c r="M472">
        <v>1</v>
      </c>
      <c r="N472">
        <v>0</v>
      </c>
      <c r="O472">
        <v>2</v>
      </c>
      <c r="P472">
        <v>0</v>
      </c>
      <c r="Q472">
        <v>0</v>
      </c>
      <c r="R472">
        <v>10</v>
      </c>
      <c r="S472">
        <v>0</v>
      </c>
      <c r="T472" t="s">
        <v>41</v>
      </c>
      <c r="U472" t="s">
        <v>113</v>
      </c>
      <c r="V472">
        <v>0</v>
      </c>
      <c r="W472">
        <v>0</v>
      </c>
      <c r="X472">
        <v>0</v>
      </c>
      <c r="Y472">
        <v>0</v>
      </c>
      <c r="AA472">
        <v>0</v>
      </c>
      <c r="AB472">
        <v>0</v>
      </c>
    </row>
    <row r="473" spans="1:28" x14ac:dyDescent="0.4">
      <c r="A473">
        <v>579</v>
      </c>
      <c r="B473">
        <v>0</v>
      </c>
      <c r="C473" t="s">
        <v>39</v>
      </c>
      <c r="D473" t="s">
        <v>555</v>
      </c>
      <c r="E473">
        <v>1</v>
      </c>
      <c r="F473">
        <v>1</v>
      </c>
      <c r="G473">
        <v>3</v>
      </c>
      <c r="H473">
        <v>1</v>
      </c>
      <c r="I473">
        <v>0</v>
      </c>
      <c r="J473">
        <v>17</v>
      </c>
      <c r="K473">
        <v>0</v>
      </c>
      <c r="L473">
        <v>4</v>
      </c>
      <c r="M473">
        <v>3</v>
      </c>
      <c r="N473">
        <v>0</v>
      </c>
      <c r="O473">
        <v>3</v>
      </c>
      <c r="P473">
        <v>0</v>
      </c>
      <c r="Q473">
        <v>0</v>
      </c>
      <c r="R473">
        <v>13</v>
      </c>
      <c r="S473">
        <v>0</v>
      </c>
      <c r="T473" t="s">
        <v>41</v>
      </c>
      <c r="U473" t="s">
        <v>113</v>
      </c>
      <c r="V473">
        <v>0</v>
      </c>
      <c r="W473">
        <v>0</v>
      </c>
      <c r="X473">
        <v>0</v>
      </c>
      <c r="Y473">
        <v>0</v>
      </c>
      <c r="AA473">
        <v>0</v>
      </c>
      <c r="AB473">
        <v>0</v>
      </c>
    </row>
    <row r="474" spans="1:28" x14ac:dyDescent="0.4">
      <c r="A474">
        <v>580</v>
      </c>
      <c r="B474">
        <v>0</v>
      </c>
      <c r="C474" t="s">
        <v>93</v>
      </c>
      <c r="D474" t="s">
        <v>556</v>
      </c>
      <c r="E474">
        <v>2</v>
      </c>
      <c r="F474">
        <v>3</v>
      </c>
      <c r="G474">
        <v>22</v>
      </c>
      <c r="H474">
        <v>5</v>
      </c>
      <c r="I474">
        <v>0</v>
      </c>
      <c r="J474">
        <v>0</v>
      </c>
      <c r="K474">
        <v>19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9</v>
      </c>
      <c r="S474">
        <v>0</v>
      </c>
      <c r="T474" t="s">
        <v>30</v>
      </c>
      <c r="U474" t="s">
        <v>80</v>
      </c>
      <c r="V474">
        <v>0</v>
      </c>
      <c r="W474">
        <v>0</v>
      </c>
      <c r="X474">
        <v>0</v>
      </c>
      <c r="Y474">
        <v>0</v>
      </c>
      <c r="AA474">
        <v>0</v>
      </c>
      <c r="AB474">
        <v>0</v>
      </c>
    </row>
    <row r="475" spans="1:28" x14ac:dyDescent="0.4">
      <c r="A475">
        <v>581</v>
      </c>
      <c r="B475">
        <v>0</v>
      </c>
      <c r="C475" t="s">
        <v>59</v>
      </c>
      <c r="D475" t="s">
        <v>557</v>
      </c>
      <c r="E475">
        <v>3</v>
      </c>
      <c r="F475">
        <v>5</v>
      </c>
      <c r="G475">
        <v>6</v>
      </c>
      <c r="H475">
        <v>45</v>
      </c>
      <c r="I475">
        <v>0</v>
      </c>
      <c r="J475">
        <v>2</v>
      </c>
      <c r="K475">
        <v>0</v>
      </c>
      <c r="L475">
        <v>11</v>
      </c>
      <c r="M475">
        <v>0</v>
      </c>
      <c r="N475">
        <v>0</v>
      </c>
      <c r="O475">
        <v>3</v>
      </c>
      <c r="P475">
        <v>2</v>
      </c>
      <c r="Q475">
        <v>0</v>
      </c>
      <c r="R475">
        <v>3</v>
      </c>
      <c r="S475">
        <v>0</v>
      </c>
      <c r="T475" t="s">
        <v>30</v>
      </c>
      <c r="U475" t="s">
        <v>113</v>
      </c>
      <c r="V475">
        <v>0</v>
      </c>
      <c r="W475">
        <v>0</v>
      </c>
      <c r="X475">
        <v>0</v>
      </c>
      <c r="Y475">
        <v>0</v>
      </c>
      <c r="AA475">
        <v>0</v>
      </c>
      <c r="AB475">
        <v>0</v>
      </c>
    </row>
    <row r="476" spans="1:28" x14ac:dyDescent="0.4">
      <c r="A476">
        <v>582</v>
      </c>
      <c r="B476">
        <v>0</v>
      </c>
      <c r="C476" t="s">
        <v>65</v>
      </c>
      <c r="D476" t="s">
        <v>558</v>
      </c>
      <c r="E476">
        <v>3</v>
      </c>
      <c r="F476">
        <v>5</v>
      </c>
      <c r="G476">
        <v>7</v>
      </c>
      <c r="H476">
        <v>7</v>
      </c>
      <c r="I476">
        <v>0</v>
      </c>
      <c r="J476">
        <v>3</v>
      </c>
      <c r="K476">
        <v>0</v>
      </c>
      <c r="L476">
        <v>5</v>
      </c>
      <c r="M476">
        <v>0</v>
      </c>
      <c r="N476">
        <v>11</v>
      </c>
      <c r="O476">
        <v>0</v>
      </c>
      <c r="P476">
        <v>6</v>
      </c>
      <c r="Q476">
        <v>0</v>
      </c>
      <c r="R476">
        <v>4</v>
      </c>
      <c r="S476">
        <v>16</v>
      </c>
      <c r="T476" t="s">
        <v>36</v>
      </c>
      <c r="U476" t="s">
        <v>113</v>
      </c>
      <c r="V476">
        <v>0</v>
      </c>
      <c r="W476">
        <v>0</v>
      </c>
      <c r="X476">
        <v>0</v>
      </c>
      <c r="Y476">
        <v>0</v>
      </c>
      <c r="AA476">
        <v>0</v>
      </c>
      <c r="AB476">
        <v>0</v>
      </c>
    </row>
    <row r="477" spans="1:28" x14ac:dyDescent="0.4">
      <c r="A477">
        <v>583</v>
      </c>
      <c r="B477">
        <v>0</v>
      </c>
      <c r="C477" t="s">
        <v>54</v>
      </c>
      <c r="D477" t="s">
        <v>559</v>
      </c>
      <c r="E477">
        <v>3</v>
      </c>
      <c r="F477">
        <v>5</v>
      </c>
      <c r="G477">
        <v>8</v>
      </c>
      <c r="H477">
        <v>46</v>
      </c>
      <c r="I477">
        <v>0</v>
      </c>
      <c r="J477">
        <v>4</v>
      </c>
      <c r="K477">
        <v>15</v>
      </c>
      <c r="L477">
        <v>6</v>
      </c>
      <c r="M477">
        <v>0</v>
      </c>
      <c r="N477">
        <v>12</v>
      </c>
      <c r="O477">
        <v>0</v>
      </c>
      <c r="P477">
        <v>7</v>
      </c>
      <c r="Q477">
        <v>0</v>
      </c>
      <c r="R477">
        <v>5</v>
      </c>
      <c r="S477">
        <v>0</v>
      </c>
      <c r="T477" t="s">
        <v>36</v>
      </c>
      <c r="U477" t="s">
        <v>113</v>
      </c>
      <c r="V477">
        <v>0</v>
      </c>
      <c r="W477">
        <v>0</v>
      </c>
      <c r="X477">
        <v>0</v>
      </c>
      <c r="Y477">
        <v>0</v>
      </c>
      <c r="AA477">
        <v>0</v>
      </c>
      <c r="AB477">
        <v>0</v>
      </c>
    </row>
    <row r="478" spans="1:28" x14ac:dyDescent="0.4">
      <c r="A478">
        <v>584</v>
      </c>
      <c r="B478">
        <v>0</v>
      </c>
      <c r="C478" t="s">
        <v>39</v>
      </c>
      <c r="D478" t="s">
        <v>560</v>
      </c>
      <c r="E478">
        <v>1</v>
      </c>
      <c r="F478">
        <v>1</v>
      </c>
      <c r="G478">
        <v>3</v>
      </c>
      <c r="H478">
        <v>3</v>
      </c>
      <c r="I478">
        <v>0</v>
      </c>
      <c r="J478">
        <v>22</v>
      </c>
      <c r="K478">
        <v>0</v>
      </c>
      <c r="L478">
        <v>4</v>
      </c>
      <c r="M478">
        <v>4</v>
      </c>
      <c r="N478">
        <v>0</v>
      </c>
      <c r="O478">
        <v>4</v>
      </c>
      <c r="P478">
        <v>0</v>
      </c>
      <c r="Q478">
        <v>0</v>
      </c>
      <c r="R478">
        <v>14</v>
      </c>
      <c r="S478">
        <v>0</v>
      </c>
      <c r="T478" t="s">
        <v>41</v>
      </c>
      <c r="U478" t="s">
        <v>113</v>
      </c>
      <c r="V478">
        <v>0</v>
      </c>
      <c r="W478">
        <v>0</v>
      </c>
      <c r="X478">
        <v>0</v>
      </c>
      <c r="Y478">
        <v>0</v>
      </c>
      <c r="AA478">
        <v>0</v>
      </c>
      <c r="AB478">
        <v>0</v>
      </c>
    </row>
    <row r="479" spans="1:28" x14ac:dyDescent="0.4">
      <c r="A479">
        <v>585</v>
      </c>
      <c r="B479">
        <v>0</v>
      </c>
      <c r="C479" t="s">
        <v>39</v>
      </c>
      <c r="D479" t="s">
        <v>561</v>
      </c>
      <c r="E479">
        <v>1</v>
      </c>
      <c r="F479">
        <v>1</v>
      </c>
      <c r="G479">
        <v>3</v>
      </c>
      <c r="H479">
        <v>3</v>
      </c>
      <c r="I479">
        <v>0</v>
      </c>
      <c r="J479">
        <v>27</v>
      </c>
      <c r="K479">
        <v>0</v>
      </c>
      <c r="L479">
        <v>4</v>
      </c>
      <c r="M479">
        <v>5</v>
      </c>
      <c r="N479">
        <v>0</v>
      </c>
      <c r="O479">
        <v>0</v>
      </c>
      <c r="P479">
        <v>0</v>
      </c>
      <c r="Q479">
        <v>0</v>
      </c>
      <c r="R479">
        <v>20</v>
      </c>
      <c r="S479">
        <v>0</v>
      </c>
      <c r="T479" t="s">
        <v>44</v>
      </c>
      <c r="U479" t="s">
        <v>113</v>
      </c>
      <c r="V479">
        <v>0</v>
      </c>
      <c r="W479">
        <v>0</v>
      </c>
      <c r="X479">
        <v>0</v>
      </c>
      <c r="Y479">
        <v>0</v>
      </c>
      <c r="AA479">
        <v>0</v>
      </c>
      <c r="AB479">
        <v>0</v>
      </c>
    </row>
    <row r="480" spans="1:28" x14ac:dyDescent="0.4">
      <c r="A480">
        <v>586</v>
      </c>
      <c r="B480">
        <v>0</v>
      </c>
      <c r="C480" t="s">
        <v>54</v>
      </c>
      <c r="D480" t="s">
        <v>562</v>
      </c>
      <c r="E480">
        <v>3</v>
      </c>
      <c r="F480">
        <v>5</v>
      </c>
      <c r="G480">
        <v>8</v>
      </c>
      <c r="H480">
        <v>8</v>
      </c>
      <c r="I480">
        <v>0</v>
      </c>
      <c r="J480">
        <v>9</v>
      </c>
      <c r="K480">
        <v>0</v>
      </c>
      <c r="L480">
        <v>10</v>
      </c>
      <c r="M480">
        <v>3</v>
      </c>
      <c r="N480">
        <v>29</v>
      </c>
      <c r="O480">
        <v>5</v>
      </c>
      <c r="P480">
        <v>5</v>
      </c>
      <c r="Q480">
        <v>0</v>
      </c>
      <c r="R480">
        <v>13</v>
      </c>
      <c r="S480">
        <v>27</v>
      </c>
      <c r="T480" t="s">
        <v>44</v>
      </c>
      <c r="U480" t="s">
        <v>113</v>
      </c>
      <c r="V480">
        <v>0</v>
      </c>
      <c r="W480">
        <v>0</v>
      </c>
      <c r="X480">
        <v>0</v>
      </c>
      <c r="Y480">
        <v>0</v>
      </c>
      <c r="AA480">
        <v>0</v>
      </c>
      <c r="AB480">
        <v>0</v>
      </c>
    </row>
    <row r="481" spans="1:28" x14ac:dyDescent="0.4">
      <c r="A481">
        <v>587</v>
      </c>
      <c r="B481">
        <v>0</v>
      </c>
      <c r="C481" t="s">
        <v>39</v>
      </c>
      <c r="D481" t="s">
        <v>563</v>
      </c>
      <c r="E481">
        <v>1</v>
      </c>
      <c r="F481">
        <v>1</v>
      </c>
      <c r="G481">
        <v>3</v>
      </c>
      <c r="H481">
        <v>3</v>
      </c>
      <c r="I481">
        <v>0</v>
      </c>
      <c r="J481">
        <v>28</v>
      </c>
      <c r="K481">
        <v>0</v>
      </c>
      <c r="L481">
        <v>5</v>
      </c>
      <c r="M481">
        <v>6</v>
      </c>
      <c r="N481">
        <v>0</v>
      </c>
      <c r="O481">
        <v>3</v>
      </c>
      <c r="P481">
        <v>0</v>
      </c>
      <c r="Q481">
        <v>0</v>
      </c>
      <c r="R481">
        <v>24</v>
      </c>
      <c r="S481">
        <v>0</v>
      </c>
      <c r="T481" t="s">
        <v>44</v>
      </c>
      <c r="U481" t="s">
        <v>113</v>
      </c>
      <c r="V481">
        <v>0</v>
      </c>
      <c r="W481">
        <v>0</v>
      </c>
      <c r="X481">
        <v>0</v>
      </c>
      <c r="Y481">
        <v>0</v>
      </c>
      <c r="AA481">
        <v>0</v>
      </c>
      <c r="AB481">
        <v>0</v>
      </c>
    </row>
    <row r="482" spans="1:28" x14ac:dyDescent="0.4">
      <c r="A482">
        <v>588</v>
      </c>
      <c r="B482">
        <v>0</v>
      </c>
      <c r="C482" t="s">
        <v>28</v>
      </c>
      <c r="D482" t="s">
        <v>564</v>
      </c>
      <c r="E482">
        <v>1</v>
      </c>
      <c r="F482">
        <v>1</v>
      </c>
      <c r="G482">
        <v>1</v>
      </c>
      <c r="H482">
        <v>1</v>
      </c>
      <c r="I482">
        <v>0</v>
      </c>
      <c r="J482">
        <v>6</v>
      </c>
      <c r="K482">
        <v>0</v>
      </c>
      <c r="L482">
        <v>3</v>
      </c>
      <c r="M482">
        <v>0</v>
      </c>
      <c r="N482">
        <v>6</v>
      </c>
      <c r="O482">
        <v>9</v>
      </c>
      <c r="P482">
        <v>0</v>
      </c>
      <c r="Q482">
        <v>0</v>
      </c>
      <c r="R482">
        <v>18</v>
      </c>
      <c r="S482">
        <v>0</v>
      </c>
      <c r="T482" t="s">
        <v>30</v>
      </c>
      <c r="U482" t="s">
        <v>80</v>
      </c>
      <c r="V482">
        <v>0</v>
      </c>
      <c r="W482">
        <v>0</v>
      </c>
      <c r="X482">
        <v>0</v>
      </c>
      <c r="Y482">
        <v>0</v>
      </c>
      <c r="AA482">
        <v>0</v>
      </c>
      <c r="AB482">
        <v>0</v>
      </c>
    </row>
    <row r="483" spans="1:28" x14ac:dyDescent="0.4">
      <c r="A483">
        <v>589</v>
      </c>
      <c r="B483">
        <v>0</v>
      </c>
      <c r="C483" t="s">
        <v>34</v>
      </c>
      <c r="D483" t="s">
        <v>565</v>
      </c>
      <c r="E483">
        <v>1</v>
      </c>
      <c r="F483">
        <v>1</v>
      </c>
      <c r="G483">
        <v>2</v>
      </c>
      <c r="H483">
        <v>2</v>
      </c>
      <c r="I483">
        <v>0</v>
      </c>
      <c r="J483">
        <v>8</v>
      </c>
      <c r="K483">
        <v>0</v>
      </c>
      <c r="L483">
        <v>4</v>
      </c>
      <c r="M483">
        <v>4</v>
      </c>
      <c r="N483">
        <v>6</v>
      </c>
      <c r="O483">
        <v>7</v>
      </c>
      <c r="P483">
        <v>0</v>
      </c>
      <c r="Q483">
        <v>0</v>
      </c>
      <c r="R483">
        <v>19</v>
      </c>
      <c r="S483">
        <v>0</v>
      </c>
      <c r="T483" t="s">
        <v>36</v>
      </c>
      <c r="U483" t="s">
        <v>80</v>
      </c>
      <c r="V483">
        <v>0</v>
      </c>
      <c r="W483">
        <v>0</v>
      </c>
      <c r="X483">
        <v>0</v>
      </c>
      <c r="Y483">
        <v>0</v>
      </c>
      <c r="AA483">
        <v>0</v>
      </c>
      <c r="AB483">
        <v>0</v>
      </c>
    </row>
    <row r="484" spans="1:28" x14ac:dyDescent="0.4">
      <c r="A484">
        <v>590</v>
      </c>
      <c r="B484">
        <v>0</v>
      </c>
      <c r="C484" t="s">
        <v>93</v>
      </c>
      <c r="D484" t="s">
        <v>566</v>
      </c>
      <c r="E484">
        <v>2</v>
      </c>
      <c r="F484">
        <v>3</v>
      </c>
      <c r="G484">
        <v>22</v>
      </c>
      <c r="H484">
        <v>5</v>
      </c>
      <c r="I484">
        <v>0</v>
      </c>
      <c r="J484">
        <v>4</v>
      </c>
      <c r="K484">
        <v>18</v>
      </c>
      <c r="L484">
        <v>0</v>
      </c>
      <c r="M484">
        <v>0</v>
      </c>
      <c r="N484">
        <v>0</v>
      </c>
      <c r="O484">
        <v>4</v>
      </c>
      <c r="P484">
        <v>0</v>
      </c>
      <c r="Q484">
        <v>0</v>
      </c>
      <c r="R484">
        <v>9</v>
      </c>
      <c r="S484">
        <v>0</v>
      </c>
      <c r="T484" t="s">
        <v>44</v>
      </c>
      <c r="U484" t="s">
        <v>80</v>
      </c>
      <c r="V484">
        <v>0</v>
      </c>
      <c r="W484">
        <v>0</v>
      </c>
      <c r="X484">
        <v>0</v>
      </c>
      <c r="Y484">
        <v>0</v>
      </c>
      <c r="AA484">
        <v>0</v>
      </c>
      <c r="AB484">
        <v>0</v>
      </c>
    </row>
    <row r="485" spans="1:28" x14ac:dyDescent="0.4">
      <c r="A485">
        <v>591</v>
      </c>
      <c r="B485">
        <v>0</v>
      </c>
      <c r="C485" t="s">
        <v>28</v>
      </c>
      <c r="D485" t="s">
        <v>567</v>
      </c>
      <c r="E485">
        <v>1</v>
      </c>
      <c r="F485">
        <v>1</v>
      </c>
      <c r="G485">
        <v>1</v>
      </c>
      <c r="H485">
        <v>16</v>
      </c>
      <c r="I485">
        <v>0</v>
      </c>
      <c r="J485">
        <v>5</v>
      </c>
      <c r="K485">
        <v>0</v>
      </c>
      <c r="L485">
        <v>7</v>
      </c>
      <c r="M485">
        <v>0</v>
      </c>
      <c r="N485">
        <v>7</v>
      </c>
      <c r="O485">
        <v>8</v>
      </c>
      <c r="P485">
        <v>0</v>
      </c>
      <c r="Q485">
        <v>0</v>
      </c>
      <c r="R485">
        <v>20</v>
      </c>
      <c r="S485">
        <v>0</v>
      </c>
      <c r="T485" t="s">
        <v>36</v>
      </c>
      <c r="U485" t="s">
        <v>80</v>
      </c>
      <c r="V485">
        <v>0</v>
      </c>
      <c r="W485">
        <v>0</v>
      </c>
      <c r="X485">
        <v>0</v>
      </c>
      <c r="Y485">
        <v>0</v>
      </c>
      <c r="AA485">
        <v>0</v>
      </c>
      <c r="AB485">
        <v>0</v>
      </c>
    </row>
    <row r="486" spans="1:28" x14ac:dyDescent="0.4">
      <c r="A486">
        <v>592</v>
      </c>
      <c r="B486">
        <v>0</v>
      </c>
      <c r="C486" t="s">
        <v>39</v>
      </c>
      <c r="D486" t="s">
        <v>568</v>
      </c>
      <c r="E486">
        <v>1</v>
      </c>
      <c r="F486">
        <v>1</v>
      </c>
      <c r="G486">
        <v>3</v>
      </c>
      <c r="H486">
        <v>3</v>
      </c>
      <c r="I486">
        <v>0</v>
      </c>
      <c r="J486">
        <v>23</v>
      </c>
      <c r="K486">
        <v>0</v>
      </c>
      <c r="L486">
        <v>4</v>
      </c>
      <c r="M486">
        <v>3</v>
      </c>
      <c r="N486">
        <v>0</v>
      </c>
      <c r="O486">
        <v>0</v>
      </c>
      <c r="P486">
        <v>0</v>
      </c>
      <c r="Q486">
        <v>0</v>
      </c>
      <c r="R486">
        <v>22</v>
      </c>
      <c r="S486">
        <v>0</v>
      </c>
      <c r="T486" t="s">
        <v>41</v>
      </c>
      <c r="U486" t="s">
        <v>80</v>
      </c>
      <c r="V486">
        <v>0</v>
      </c>
      <c r="W486">
        <v>0</v>
      </c>
      <c r="X486">
        <v>0</v>
      </c>
      <c r="Y486">
        <v>0</v>
      </c>
      <c r="AA486">
        <v>0</v>
      </c>
      <c r="AB486">
        <v>0</v>
      </c>
    </row>
    <row r="487" spans="1:28" x14ac:dyDescent="0.4">
      <c r="A487">
        <v>593</v>
      </c>
      <c r="B487">
        <v>0</v>
      </c>
      <c r="C487" t="s">
        <v>50</v>
      </c>
      <c r="D487" t="s">
        <v>569</v>
      </c>
      <c r="E487">
        <v>2</v>
      </c>
      <c r="F487">
        <v>3</v>
      </c>
      <c r="G487">
        <v>5</v>
      </c>
      <c r="H487">
        <v>5</v>
      </c>
      <c r="I487">
        <v>0</v>
      </c>
      <c r="J487">
        <v>0</v>
      </c>
      <c r="K487">
        <v>15</v>
      </c>
      <c r="L487">
        <v>0</v>
      </c>
      <c r="M487">
        <v>0</v>
      </c>
      <c r="N487">
        <v>0</v>
      </c>
      <c r="O487">
        <v>3</v>
      </c>
      <c r="P487">
        <v>0</v>
      </c>
      <c r="Q487">
        <v>0</v>
      </c>
      <c r="R487">
        <v>10</v>
      </c>
      <c r="S487">
        <v>0</v>
      </c>
      <c r="T487" t="s">
        <v>30</v>
      </c>
      <c r="U487" t="s">
        <v>80</v>
      </c>
      <c r="V487">
        <v>0</v>
      </c>
      <c r="W487">
        <v>0</v>
      </c>
      <c r="X487">
        <v>0</v>
      </c>
      <c r="Y487">
        <v>0</v>
      </c>
      <c r="AA487">
        <v>0</v>
      </c>
      <c r="AB487">
        <v>0</v>
      </c>
    </row>
    <row r="488" spans="1:28" x14ac:dyDescent="0.4">
      <c r="A488">
        <v>594</v>
      </c>
      <c r="B488">
        <v>0</v>
      </c>
      <c r="C488" t="s">
        <v>65</v>
      </c>
      <c r="D488" t="s">
        <v>570</v>
      </c>
      <c r="E488">
        <v>3</v>
      </c>
      <c r="F488">
        <v>5</v>
      </c>
      <c r="G488">
        <v>7</v>
      </c>
      <c r="H488">
        <v>7</v>
      </c>
      <c r="I488">
        <v>0</v>
      </c>
      <c r="J488">
        <v>17</v>
      </c>
      <c r="K488">
        <v>0</v>
      </c>
      <c r="L488">
        <v>9</v>
      </c>
      <c r="M488">
        <v>0</v>
      </c>
      <c r="N488">
        <v>0</v>
      </c>
      <c r="O488">
        <v>0</v>
      </c>
      <c r="P488">
        <v>7</v>
      </c>
      <c r="Q488">
        <v>0</v>
      </c>
      <c r="R488">
        <v>3</v>
      </c>
      <c r="S488">
        <v>3</v>
      </c>
      <c r="T488" t="s">
        <v>44</v>
      </c>
      <c r="U488" t="s">
        <v>64</v>
      </c>
      <c r="V488">
        <v>0</v>
      </c>
      <c r="W488">
        <v>0</v>
      </c>
      <c r="X488">
        <v>0</v>
      </c>
      <c r="Y488">
        <v>0</v>
      </c>
      <c r="AA488">
        <v>0</v>
      </c>
      <c r="AB488">
        <v>0</v>
      </c>
    </row>
    <row r="489" spans="1:28" x14ac:dyDescent="0.4">
      <c r="A489">
        <v>595</v>
      </c>
      <c r="B489">
        <v>0</v>
      </c>
      <c r="C489" t="s">
        <v>65</v>
      </c>
      <c r="D489" t="s">
        <v>571</v>
      </c>
      <c r="E489">
        <v>3</v>
      </c>
      <c r="F489">
        <v>5</v>
      </c>
      <c r="G489">
        <v>7</v>
      </c>
      <c r="H489">
        <v>7</v>
      </c>
      <c r="I489">
        <v>0</v>
      </c>
      <c r="J489">
        <v>17</v>
      </c>
      <c r="K489">
        <v>0</v>
      </c>
      <c r="L489">
        <v>17</v>
      </c>
      <c r="M489">
        <v>0</v>
      </c>
      <c r="N489">
        <v>0</v>
      </c>
      <c r="O489">
        <v>0</v>
      </c>
      <c r="P489">
        <v>9</v>
      </c>
      <c r="Q489">
        <v>0</v>
      </c>
      <c r="R489">
        <v>7</v>
      </c>
      <c r="S489">
        <v>7</v>
      </c>
      <c r="T489" t="s">
        <v>44</v>
      </c>
      <c r="U489" t="s">
        <v>80</v>
      </c>
      <c r="V489">
        <v>0</v>
      </c>
      <c r="W489">
        <v>0</v>
      </c>
      <c r="X489">
        <v>0</v>
      </c>
      <c r="Y489">
        <v>0</v>
      </c>
      <c r="AA489">
        <v>0</v>
      </c>
      <c r="AB489">
        <v>0</v>
      </c>
    </row>
    <row r="490" spans="1:28" x14ac:dyDescent="0.4">
      <c r="A490">
        <v>596</v>
      </c>
      <c r="B490">
        <v>0</v>
      </c>
      <c r="C490" t="s">
        <v>34</v>
      </c>
      <c r="D490" t="s">
        <v>572</v>
      </c>
      <c r="E490">
        <v>1</v>
      </c>
      <c r="F490">
        <v>1</v>
      </c>
      <c r="G490">
        <v>2</v>
      </c>
      <c r="H490">
        <v>2</v>
      </c>
      <c r="I490">
        <v>0</v>
      </c>
      <c r="J490">
        <v>14</v>
      </c>
      <c r="K490">
        <v>0</v>
      </c>
      <c r="L490">
        <v>13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9</v>
      </c>
      <c r="S490">
        <v>0</v>
      </c>
      <c r="T490" t="s">
        <v>36</v>
      </c>
      <c r="U490" t="s">
        <v>80</v>
      </c>
      <c r="V490">
        <v>0</v>
      </c>
      <c r="W490">
        <v>0</v>
      </c>
      <c r="X490">
        <v>0</v>
      </c>
      <c r="Y490">
        <v>0</v>
      </c>
      <c r="AA490">
        <v>0</v>
      </c>
      <c r="AB490">
        <v>0</v>
      </c>
    </row>
    <row r="491" spans="1:28" x14ac:dyDescent="0.4">
      <c r="A491">
        <v>597</v>
      </c>
      <c r="B491">
        <v>0</v>
      </c>
      <c r="C491" t="s">
        <v>65</v>
      </c>
      <c r="D491" t="s">
        <v>573</v>
      </c>
      <c r="E491">
        <v>3</v>
      </c>
      <c r="F491">
        <v>5</v>
      </c>
      <c r="G491">
        <v>7</v>
      </c>
      <c r="H491">
        <v>7</v>
      </c>
      <c r="I491">
        <v>0</v>
      </c>
      <c r="J491">
        <v>17</v>
      </c>
      <c r="K491">
        <v>0</v>
      </c>
      <c r="L491">
        <v>9</v>
      </c>
      <c r="M491">
        <v>0</v>
      </c>
      <c r="N491">
        <v>0</v>
      </c>
      <c r="O491">
        <v>0</v>
      </c>
      <c r="P491">
        <v>5</v>
      </c>
      <c r="Q491">
        <v>0</v>
      </c>
      <c r="R491">
        <v>3</v>
      </c>
      <c r="S491">
        <v>27</v>
      </c>
      <c r="T491" t="s">
        <v>44</v>
      </c>
      <c r="U491" t="s">
        <v>64</v>
      </c>
      <c r="V491">
        <v>0</v>
      </c>
      <c r="W491">
        <v>0</v>
      </c>
      <c r="X491">
        <v>0</v>
      </c>
      <c r="Y491">
        <v>0</v>
      </c>
      <c r="AA491">
        <v>0</v>
      </c>
      <c r="AB491">
        <v>0</v>
      </c>
    </row>
    <row r="492" spans="1:28" x14ac:dyDescent="0.4">
      <c r="A492">
        <v>598</v>
      </c>
      <c r="B492">
        <v>0</v>
      </c>
      <c r="C492" t="s">
        <v>65</v>
      </c>
      <c r="D492" t="s">
        <v>574</v>
      </c>
      <c r="E492">
        <v>3</v>
      </c>
      <c r="F492">
        <v>5</v>
      </c>
      <c r="G492">
        <v>7</v>
      </c>
      <c r="H492">
        <v>7</v>
      </c>
      <c r="I492">
        <v>0</v>
      </c>
      <c r="J492">
        <v>17</v>
      </c>
      <c r="K492">
        <v>0</v>
      </c>
      <c r="L492">
        <v>17</v>
      </c>
      <c r="M492">
        <v>0</v>
      </c>
      <c r="N492">
        <v>0</v>
      </c>
      <c r="O492">
        <v>0</v>
      </c>
      <c r="P492">
        <v>7</v>
      </c>
      <c r="Q492">
        <v>0</v>
      </c>
      <c r="R492">
        <v>7</v>
      </c>
      <c r="S492">
        <v>37</v>
      </c>
      <c r="T492" t="s">
        <v>44</v>
      </c>
      <c r="U492" t="s">
        <v>80</v>
      </c>
      <c r="V492">
        <v>0</v>
      </c>
      <c r="W492">
        <v>0</v>
      </c>
      <c r="X492">
        <v>0</v>
      </c>
      <c r="Y492">
        <v>0</v>
      </c>
      <c r="AA492">
        <v>0</v>
      </c>
      <c r="AB492">
        <v>0</v>
      </c>
    </row>
    <row r="493" spans="1:28" x14ac:dyDescent="0.4">
      <c r="A493">
        <v>599</v>
      </c>
      <c r="B493">
        <v>0</v>
      </c>
      <c r="C493" t="s">
        <v>28</v>
      </c>
      <c r="D493" t="s">
        <v>575</v>
      </c>
      <c r="E493">
        <v>1</v>
      </c>
      <c r="F493">
        <v>1</v>
      </c>
      <c r="G493">
        <v>1</v>
      </c>
      <c r="H493">
        <v>16</v>
      </c>
      <c r="I493">
        <v>0</v>
      </c>
      <c r="J493">
        <v>6</v>
      </c>
      <c r="K493">
        <v>0</v>
      </c>
      <c r="L493">
        <v>6</v>
      </c>
      <c r="M493">
        <v>0</v>
      </c>
      <c r="N493">
        <v>12</v>
      </c>
      <c r="O493">
        <v>6</v>
      </c>
      <c r="P493">
        <v>0</v>
      </c>
      <c r="Q493">
        <v>0</v>
      </c>
      <c r="R493">
        <v>24</v>
      </c>
      <c r="S493">
        <v>0</v>
      </c>
      <c r="T493" t="s">
        <v>30</v>
      </c>
      <c r="U493" t="s">
        <v>80</v>
      </c>
      <c r="V493">
        <v>0</v>
      </c>
      <c r="W493">
        <v>0</v>
      </c>
      <c r="X493">
        <v>0</v>
      </c>
      <c r="Y493">
        <v>0</v>
      </c>
      <c r="AA493">
        <v>0</v>
      </c>
      <c r="AB493">
        <v>0</v>
      </c>
    </row>
    <row r="494" spans="1:28" x14ac:dyDescent="0.4">
      <c r="A494">
        <v>600</v>
      </c>
      <c r="B494">
        <v>0</v>
      </c>
      <c r="C494" t="s">
        <v>34</v>
      </c>
      <c r="D494" t="s">
        <v>576</v>
      </c>
      <c r="E494">
        <v>1</v>
      </c>
      <c r="F494">
        <v>1</v>
      </c>
      <c r="G494">
        <v>2</v>
      </c>
      <c r="H494">
        <v>2</v>
      </c>
      <c r="I494">
        <v>0</v>
      </c>
      <c r="J494">
        <v>10</v>
      </c>
      <c r="K494">
        <v>0</v>
      </c>
      <c r="L494">
        <v>2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8</v>
      </c>
      <c r="S494">
        <v>0</v>
      </c>
      <c r="T494" t="s">
        <v>36</v>
      </c>
      <c r="U494" t="s">
        <v>64</v>
      </c>
      <c r="V494">
        <v>0</v>
      </c>
      <c r="W494">
        <v>0</v>
      </c>
      <c r="X494">
        <v>0</v>
      </c>
      <c r="Y494">
        <v>0</v>
      </c>
      <c r="AA494">
        <v>0</v>
      </c>
      <c r="AB494">
        <v>0</v>
      </c>
    </row>
    <row r="495" spans="1:28" x14ac:dyDescent="0.4">
      <c r="A495">
        <v>601</v>
      </c>
      <c r="B495">
        <v>0</v>
      </c>
      <c r="C495" t="s">
        <v>34</v>
      </c>
      <c r="D495" t="s">
        <v>577</v>
      </c>
      <c r="E495">
        <v>1</v>
      </c>
      <c r="F495">
        <v>1</v>
      </c>
      <c r="G495">
        <v>2</v>
      </c>
      <c r="H495">
        <v>2</v>
      </c>
      <c r="I495">
        <v>0</v>
      </c>
      <c r="J495">
        <v>12</v>
      </c>
      <c r="K495">
        <v>0</v>
      </c>
      <c r="L495">
        <v>2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9</v>
      </c>
      <c r="S495">
        <v>0</v>
      </c>
      <c r="T495" t="s">
        <v>36</v>
      </c>
      <c r="U495" t="s">
        <v>80</v>
      </c>
      <c r="V495">
        <v>0</v>
      </c>
      <c r="W495">
        <v>0</v>
      </c>
      <c r="X495">
        <v>0</v>
      </c>
      <c r="Y495">
        <v>0</v>
      </c>
      <c r="AA495">
        <v>0</v>
      </c>
      <c r="AB495">
        <v>0</v>
      </c>
    </row>
    <row r="496" spans="1:28" x14ac:dyDescent="0.4">
      <c r="A496">
        <v>602</v>
      </c>
      <c r="B496">
        <v>0</v>
      </c>
      <c r="C496" t="s">
        <v>28</v>
      </c>
      <c r="D496" t="s">
        <v>578</v>
      </c>
      <c r="E496">
        <v>1</v>
      </c>
      <c r="F496">
        <v>1</v>
      </c>
      <c r="G496">
        <v>1</v>
      </c>
      <c r="H496">
        <v>16</v>
      </c>
      <c r="I496">
        <v>0</v>
      </c>
      <c r="J496">
        <v>7</v>
      </c>
      <c r="K496">
        <v>0</v>
      </c>
      <c r="L496">
        <v>18</v>
      </c>
      <c r="M496">
        <v>0</v>
      </c>
      <c r="N496">
        <v>0</v>
      </c>
      <c r="O496">
        <v>3</v>
      </c>
      <c r="P496">
        <v>0</v>
      </c>
      <c r="Q496">
        <v>0</v>
      </c>
      <c r="R496">
        <v>7</v>
      </c>
      <c r="S496">
        <v>0</v>
      </c>
      <c r="T496" t="s">
        <v>36</v>
      </c>
      <c r="U496" t="s">
        <v>80</v>
      </c>
      <c r="V496">
        <v>0</v>
      </c>
      <c r="W496">
        <v>0</v>
      </c>
      <c r="X496">
        <v>0</v>
      </c>
      <c r="Y496">
        <v>0</v>
      </c>
      <c r="AA496">
        <v>0</v>
      </c>
      <c r="AB496">
        <v>0</v>
      </c>
    </row>
    <row r="497" spans="1:28" x14ac:dyDescent="0.4">
      <c r="A497">
        <v>603</v>
      </c>
      <c r="B497">
        <v>0</v>
      </c>
      <c r="C497" t="s">
        <v>76</v>
      </c>
      <c r="D497" t="s">
        <v>579</v>
      </c>
      <c r="E497">
        <v>5</v>
      </c>
      <c r="F497">
        <v>8</v>
      </c>
      <c r="G497">
        <v>13</v>
      </c>
      <c r="H497">
        <v>11</v>
      </c>
      <c r="I497">
        <v>0</v>
      </c>
      <c r="J497">
        <v>0</v>
      </c>
      <c r="K497">
        <v>0</v>
      </c>
      <c r="L497">
        <v>19</v>
      </c>
      <c r="M497">
        <v>0</v>
      </c>
      <c r="N497">
        <v>11</v>
      </c>
      <c r="O497">
        <v>3</v>
      </c>
      <c r="P497">
        <v>13</v>
      </c>
      <c r="Q497">
        <v>0</v>
      </c>
      <c r="R497">
        <v>16</v>
      </c>
      <c r="S497">
        <v>0</v>
      </c>
      <c r="T497" t="s">
        <v>56</v>
      </c>
      <c r="U497" t="s">
        <v>113</v>
      </c>
      <c r="V497">
        <v>0</v>
      </c>
      <c r="W497">
        <v>0</v>
      </c>
      <c r="X497">
        <v>0</v>
      </c>
      <c r="Y497">
        <v>0</v>
      </c>
      <c r="AA497">
        <v>0</v>
      </c>
      <c r="AB497">
        <v>0</v>
      </c>
    </row>
    <row r="498" spans="1:28" x14ac:dyDescent="0.4">
      <c r="A498">
        <v>604</v>
      </c>
      <c r="B498">
        <v>0</v>
      </c>
      <c r="C498" t="s">
        <v>28</v>
      </c>
      <c r="D498" t="s">
        <v>580</v>
      </c>
      <c r="E498">
        <v>1</v>
      </c>
      <c r="F498">
        <v>1</v>
      </c>
      <c r="G498">
        <v>1</v>
      </c>
      <c r="H498">
        <v>1</v>
      </c>
      <c r="I498">
        <v>0</v>
      </c>
      <c r="J498">
        <v>6</v>
      </c>
      <c r="K498">
        <v>6</v>
      </c>
      <c r="L498">
        <v>2</v>
      </c>
      <c r="M498">
        <v>0</v>
      </c>
      <c r="N498">
        <v>4</v>
      </c>
      <c r="O498">
        <v>6</v>
      </c>
      <c r="P498">
        <v>0</v>
      </c>
      <c r="Q498">
        <v>0</v>
      </c>
      <c r="R498">
        <v>18</v>
      </c>
      <c r="S498">
        <v>0</v>
      </c>
      <c r="T498" t="s">
        <v>30</v>
      </c>
      <c r="U498" t="s">
        <v>80</v>
      </c>
      <c r="V498">
        <v>0</v>
      </c>
      <c r="W498">
        <v>0</v>
      </c>
      <c r="X498">
        <v>0</v>
      </c>
      <c r="Y498">
        <v>0</v>
      </c>
      <c r="AA498">
        <v>0</v>
      </c>
      <c r="AB498">
        <v>0</v>
      </c>
    </row>
    <row r="499" spans="1:28" x14ac:dyDescent="0.4">
      <c r="A499">
        <v>605</v>
      </c>
      <c r="B499">
        <v>0</v>
      </c>
      <c r="C499" t="s">
        <v>290</v>
      </c>
      <c r="D499" t="s">
        <v>581</v>
      </c>
      <c r="E499">
        <v>24</v>
      </c>
      <c r="F499">
        <v>42</v>
      </c>
      <c r="G499">
        <v>51</v>
      </c>
      <c r="H499">
        <v>42</v>
      </c>
      <c r="I499">
        <v>0</v>
      </c>
      <c r="J499">
        <v>0</v>
      </c>
      <c r="K499">
        <v>6</v>
      </c>
      <c r="L499">
        <v>0</v>
      </c>
      <c r="M499">
        <v>0</v>
      </c>
      <c r="N499">
        <v>0</v>
      </c>
      <c r="O499">
        <v>6</v>
      </c>
      <c r="P499">
        <v>6</v>
      </c>
      <c r="Q499">
        <v>0</v>
      </c>
      <c r="R499">
        <v>22</v>
      </c>
      <c r="S499">
        <v>0</v>
      </c>
      <c r="T499" t="s">
        <v>30</v>
      </c>
      <c r="U499" t="s">
        <v>113</v>
      </c>
      <c r="V499">
        <v>0</v>
      </c>
      <c r="W499">
        <v>0</v>
      </c>
      <c r="X499">
        <v>0</v>
      </c>
      <c r="Y499">
        <v>0</v>
      </c>
      <c r="AA499">
        <v>0</v>
      </c>
      <c r="AB499">
        <v>0</v>
      </c>
    </row>
    <row r="500" spans="1:28" x14ac:dyDescent="0.4">
      <c r="A500">
        <v>606</v>
      </c>
      <c r="B500">
        <v>0</v>
      </c>
      <c r="C500" t="s">
        <v>28</v>
      </c>
      <c r="D500" t="s">
        <v>582</v>
      </c>
      <c r="E500">
        <v>1</v>
      </c>
      <c r="F500">
        <v>1</v>
      </c>
      <c r="G500">
        <v>1</v>
      </c>
      <c r="H500">
        <v>16</v>
      </c>
      <c r="I500">
        <v>0</v>
      </c>
      <c r="J500">
        <v>1</v>
      </c>
      <c r="K500">
        <v>0</v>
      </c>
      <c r="L500">
        <v>5</v>
      </c>
      <c r="M500">
        <v>0</v>
      </c>
      <c r="N500">
        <v>2</v>
      </c>
      <c r="O500">
        <v>3</v>
      </c>
      <c r="P500">
        <v>0</v>
      </c>
      <c r="Q500">
        <v>0</v>
      </c>
      <c r="R500">
        <v>19</v>
      </c>
      <c r="S500">
        <v>0</v>
      </c>
      <c r="T500" t="s">
        <v>30</v>
      </c>
      <c r="U500" t="s">
        <v>80</v>
      </c>
      <c r="V500">
        <v>0</v>
      </c>
      <c r="W500">
        <v>0</v>
      </c>
      <c r="X500">
        <v>0</v>
      </c>
      <c r="Y500">
        <v>0</v>
      </c>
      <c r="AA500">
        <v>0</v>
      </c>
      <c r="AB500">
        <v>0</v>
      </c>
    </row>
    <row r="501" spans="1:28" x14ac:dyDescent="0.4">
      <c r="A501">
        <v>607</v>
      </c>
      <c r="B501">
        <v>0</v>
      </c>
      <c r="C501" t="s">
        <v>28</v>
      </c>
      <c r="D501" t="s">
        <v>583</v>
      </c>
      <c r="E501">
        <v>1</v>
      </c>
      <c r="F501">
        <v>1</v>
      </c>
      <c r="G501">
        <v>1</v>
      </c>
      <c r="H501">
        <v>16</v>
      </c>
      <c r="I501">
        <v>0</v>
      </c>
      <c r="J501">
        <v>2</v>
      </c>
      <c r="K501">
        <v>0</v>
      </c>
      <c r="L501">
        <v>6</v>
      </c>
      <c r="M501">
        <v>0</v>
      </c>
      <c r="N501">
        <v>2</v>
      </c>
      <c r="O501">
        <v>2</v>
      </c>
      <c r="P501">
        <v>0</v>
      </c>
      <c r="Q501">
        <v>0</v>
      </c>
      <c r="R501">
        <v>19</v>
      </c>
      <c r="S501">
        <v>0</v>
      </c>
      <c r="T501" t="s">
        <v>30</v>
      </c>
      <c r="U501" t="s">
        <v>80</v>
      </c>
      <c r="V501">
        <v>0</v>
      </c>
      <c r="W501">
        <v>0</v>
      </c>
      <c r="X501">
        <v>0</v>
      </c>
      <c r="Y501">
        <v>0</v>
      </c>
      <c r="AA501">
        <v>0</v>
      </c>
      <c r="AB501">
        <v>0</v>
      </c>
    </row>
    <row r="502" spans="1:28" x14ac:dyDescent="0.4">
      <c r="A502">
        <v>608</v>
      </c>
      <c r="B502">
        <v>0</v>
      </c>
      <c r="C502" t="s">
        <v>76</v>
      </c>
      <c r="D502" t="s">
        <v>584</v>
      </c>
      <c r="E502">
        <v>5</v>
      </c>
      <c r="F502">
        <v>8</v>
      </c>
      <c r="G502">
        <v>13</v>
      </c>
      <c r="H502">
        <v>11</v>
      </c>
      <c r="I502">
        <v>0</v>
      </c>
      <c r="J502">
        <v>3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3</v>
      </c>
      <c r="S502">
        <v>0</v>
      </c>
      <c r="T502" t="s">
        <v>44</v>
      </c>
      <c r="U502" t="s">
        <v>80</v>
      </c>
      <c r="V502">
        <v>0</v>
      </c>
      <c r="W502">
        <v>0</v>
      </c>
      <c r="X502">
        <v>0</v>
      </c>
      <c r="Y502">
        <v>0</v>
      </c>
      <c r="AA502">
        <v>0</v>
      </c>
      <c r="AB502">
        <v>0</v>
      </c>
    </row>
    <row r="503" spans="1:28" x14ac:dyDescent="0.4">
      <c r="A503">
        <v>609</v>
      </c>
      <c r="B503">
        <v>0</v>
      </c>
      <c r="C503" t="s">
        <v>34</v>
      </c>
      <c r="D503" t="s">
        <v>585</v>
      </c>
      <c r="E503">
        <v>1</v>
      </c>
      <c r="F503">
        <v>1</v>
      </c>
      <c r="G503">
        <v>2</v>
      </c>
      <c r="H503">
        <v>2</v>
      </c>
      <c r="I503">
        <v>0</v>
      </c>
      <c r="J503">
        <v>25</v>
      </c>
      <c r="K503">
        <v>0</v>
      </c>
      <c r="L503">
        <v>3</v>
      </c>
      <c r="M503">
        <v>3</v>
      </c>
      <c r="N503">
        <v>0</v>
      </c>
      <c r="O503">
        <v>4</v>
      </c>
      <c r="P503">
        <v>0</v>
      </c>
      <c r="Q503">
        <v>0</v>
      </c>
      <c r="R503">
        <v>25</v>
      </c>
      <c r="S503">
        <v>0</v>
      </c>
      <c r="T503" t="s">
        <v>41</v>
      </c>
      <c r="U503" t="s">
        <v>80</v>
      </c>
      <c r="V503">
        <v>0</v>
      </c>
      <c r="W503">
        <v>0</v>
      </c>
      <c r="X503">
        <v>0</v>
      </c>
      <c r="Y503">
        <v>0</v>
      </c>
      <c r="AA503">
        <v>0</v>
      </c>
      <c r="AB503">
        <v>0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94"/>
  <sheetViews>
    <sheetView tabSelected="1" zoomScale="85" zoomScaleNormal="85" workbookViewId="0">
      <selection activeCell="S11" sqref="S11"/>
    </sheetView>
  </sheetViews>
  <sheetFormatPr defaultRowHeight="18.75" x14ac:dyDescent="0.4"/>
  <cols>
    <col min="1" max="1" width="6.25" bestFit="1" customWidth="1"/>
    <col min="2" max="2" width="10.875" bestFit="1" customWidth="1"/>
    <col min="3" max="3" width="24.375" customWidth="1"/>
    <col min="4" max="4" width="5.625" bestFit="1" customWidth="1"/>
    <col min="5" max="5" width="5" bestFit="1" customWidth="1"/>
    <col min="6" max="6" width="8.875" bestFit="1" customWidth="1"/>
    <col min="7" max="7" width="4.25" bestFit="1" customWidth="1"/>
    <col min="8" max="14" width="5.25" bestFit="1" customWidth="1"/>
    <col min="15" max="15" width="7.5" bestFit="1" customWidth="1"/>
    <col min="16" max="16" width="13.875" bestFit="1" customWidth="1"/>
    <col min="17" max="17" width="9.625" bestFit="1" customWidth="1"/>
    <col min="18" max="18" width="63.75" bestFit="1" customWidth="1"/>
  </cols>
  <sheetData>
    <row r="1" spans="1:18" x14ac:dyDescent="0.4">
      <c r="A1" t="s">
        <v>600</v>
      </c>
      <c r="B1" t="s">
        <v>601</v>
      </c>
      <c r="C1" t="s">
        <v>602</v>
      </c>
      <c r="D1" t="s">
        <v>598</v>
      </c>
      <c r="E1" t="s">
        <v>599</v>
      </c>
      <c r="F1" t="s">
        <v>603</v>
      </c>
      <c r="G1" t="s">
        <v>604</v>
      </c>
      <c r="H1" t="s">
        <v>605</v>
      </c>
      <c r="I1" t="s">
        <v>606</v>
      </c>
      <c r="J1" t="s">
        <v>607</v>
      </c>
      <c r="K1" t="s">
        <v>608</v>
      </c>
      <c r="L1" t="s">
        <v>609</v>
      </c>
      <c r="M1" t="s">
        <v>610</v>
      </c>
      <c r="N1" t="s">
        <v>611</v>
      </c>
      <c r="O1" t="s">
        <v>612</v>
      </c>
      <c r="P1" t="s">
        <v>613</v>
      </c>
      <c r="Q1" t="s">
        <v>723</v>
      </c>
      <c r="R1" t="s">
        <v>724</v>
      </c>
    </row>
    <row r="2" spans="1:18" x14ac:dyDescent="0.4">
      <c r="A2">
        <f>装備閲覧!B2</f>
        <v>1</v>
      </c>
      <c r="B2" t="str">
        <f>装備閲覧!C2</f>
        <v>小口径主砲</v>
      </c>
      <c r="C2" t="str">
        <f>装備閲覧!D2</f>
        <v>12cm単装砲</v>
      </c>
      <c r="D2">
        <f>装備閲覧!H2</f>
        <v>1</v>
      </c>
      <c r="E2">
        <f>装備閲覧!J2</f>
        <v>1</v>
      </c>
      <c r="F2">
        <f>装備閲覧!K2</f>
        <v>0</v>
      </c>
      <c r="G2">
        <f>装備閲覧!L2</f>
        <v>1</v>
      </c>
      <c r="H2">
        <f>装備閲覧!M2</f>
        <v>0</v>
      </c>
      <c r="I2">
        <f>装備閲覧!N2</f>
        <v>0</v>
      </c>
      <c r="J2">
        <f>装備閲覧!O2</f>
        <v>0</v>
      </c>
      <c r="K2">
        <f>装備閲覧!P2</f>
        <v>0</v>
      </c>
      <c r="L2">
        <f>装備閲覧!R2</f>
        <v>0</v>
      </c>
      <c r="M2">
        <f>装備閲覧!S2</f>
        <v>0</v>
      </c>
      <c r="N2" t="str">
        <f>装備閲覧!T2</f>
        <v>短</v>
      </c>
      <c r="O2">
        <f>装備閲覧!AA2</f>
        <v>0</v>
      </c>
      <c r="P2" s="1" t="str">
        <f>IFERROR(IFERROR(VLOOKUP(C2,改修!A:B,2,0),_xlfn.NUMBERVALUE(VLOOKUP(C2,特殊改修値!C:D,2,0))),"×")</f>
        <v>〇</v>
      </c>
      <c r="Q2" t="str">
        <f>IFERROR(VLOOKUP(C2,装備ボーナス!B:C,2,0),"×")</f>
        <v>×</v>
      </c>
      <c r="R2" t="str">
        <f>VLOOKUP(A2,wikiName!A:B,2,0)</f>
        <v>12cm単装砲</v>
      </c>
    </row>
    <row r="3" spans="1:18" x14ac:dyDescent="0.4">
      <c r="A3">
        <f>装備閲覧!B3</f>
        <v>2</v>
      </c>
      <c r="B3" t="str">
        <f>装備閲覧!C3</f>
        <v>小口径主砲</v>
      </c>
      <c r="C3" t="str">
        <f>装備閲覧!D3</f>
        <v>12.7cm連装砲</v>
      </c>
      <c r="D3">
        <f>装備閲覧!H3</f>
        <v>1</v>
      </c>
      <c r="E3">
        <f>装備閲覧!J3</f>
        <v>2</v>
      </c>
      <c r="F3">
        <f>装備閲覧!K3</f>
        <v>0</v>
      </c>
      <c r="G3">
        <f>装備閲覧!L3</f>
        <v>2</v>
      </c>
      <c r="H3">
        <f>装備閲覧!M3</f>
        <v>0</v>
      </c>
      <c r="I3">
        <f>装備閲覧!N3</f>
        <v>0</v>
      </c>
      <c r="J3">
        <f>装備閲覧!O3</f>
        <v>0</v>
      </c>
      <c r="K3">
        <f>装備閲覧!P3</f>
        <v>0</v>
      </c>
      <c r="L3">
        <f>装備閲覧!R3</f>
        <v>0</v>
      </c>
      <c r="M3">
        <f>装備閲覧!S3</f>
        <v>0</v>
      </c>
      <c r="N3" t="str">
        <f>装備閲覧!T3</f>
        <v>短</v>
      </c>
      <c r="O3">
        <f>装備閲覧!AA3</f>
        <v>0</v>
      </c>
      <c r="P3" s="1" t="str">
        <f>IFERROR(IFERROR(VLOOKUP(C3,改修!A:B,2,0),_xlfn.NUMBERVALUE(VLOOKUP(C3,特殊改修値!C:D,2,0))),"×")</f>
        <v>〇</v>
      </c>
      <c r="Q3" t="str">
        <f>IFERROR(VLOOKUP(C3,装備ボーナス!B:C,2,0),"×")</f>
        <v>×</v>
      </c>
      <c r="R3" t="str">
        <f>VLOOKUP(A3,wikiName!A:B,2,0)</f>
        <v>12.7cm連装砲</v>
      </c>
    </row>
    <row r="4" spans="1:18" x14ac:dyDescent="0.4">
      <c r="A4">
        <f>装備閲覧!B4</f>
        <v>3</v>
      </c>
      <c r="B4" t="str">
        <f>装備閲覧!C4</f>
        <v>小口径主砲</v>
      </c>
      <c r="C4" t="str">
        <f>装備閲覧!D4</f>
        <v>10cm連装高角砲</v>
      </c>
      <c r="D4">
        <f>装備閲覧!H4</f>
        <v>16</v>
      </c>
      <c r="E4">
        <f>装備閲覧!J4</f>
        <v>2</v>
      </c>
      <c r="F4">
        <f>装備閲覧!K4</f>
        <v>0</v>
      </c>
      <c r="G4">
        <f>装備閲覧!L4</f>
        <v>7</v>
      </c>
      <c r="H4">
        <f>装備閲覧!M4</f>
        <v>0</v>
      </c>
      <c r="I4">
        <f>装備閲覧!N4</f>
        <v>0</v>
      </c>
      <c r="J4">
        <f>装備閲覧!O4</f>
        <v>0</v>
      </c>
      <c r="K4">
        <f>装備閲覧!P4</f>
        <v>0</v>
      </c>
      <c r="L4">
        <f>装備閲覧!R4</f>
        <v>0</v>
      </c>
      <c r="M4">
        <f>装備閲覧!S4</f>
        <v>0</v>
      </c>
      <c r="N4" t="str">
        <f>装備閲覧!T4</f>
        <v>短</v>
      </c>
      <c r="O4">
        <f>装備閲覧!AA4</f>
        <v>0</v>
      </c>
      <c r="P4" s="1" t="str">
        <f>IFERROR(IFERROR(VLOOKUP(C4,改修!A:B,2,0),_xlfn.NUMBERVALUE(VLOOKUP(C4,特殊改修値!C:D,2,0))),"×")</f>
        <v>×</v>
      </c>
      <c r="Q4" t="str">
        <f>IFERROR(VLOOKUP(C4,装備ボーナス!B:C,2,0),"×")</f>
        <v>×</v>
      </c>
      <c r="R4" t="str">
        <f>VLOOKUP(A4,wikiName!A:B,2,0)</f>
        <v>10cm連装高角砲</v>
      </c>
    </row>
    <row r="5" spans="1:18" x14ac:dyDescent="0.4">
      <c r="A5">
        <f>装備閲覧!B5</f>
        <v>4</v>
      </c>
      <c r="B5" t="str">
        <f>装備閲覧!C5</f>
        <v>中口径主砲</v>
      </c>
      <c r="C5" t="str">
        <f>装備閲覧!D5</f>
        <v>14cm単装砲</v>
      </c>
      <c r="D5">
        <f>装備閲覧!H5</f>
        <v>2</v>
      </c>
      <c r="E5">
        <f>装備閲覧!J5</f>
        <v>2</v>
      </c>
      <c r="F5">
        <f>装備閲覧!K5</f>
        <v>0</v>
      </c>
      <c r="G5">
        <f>装備閲覧!L5</f>
        <v>0</v>
      </c>
      <c r="H5">
        <f>装備閲覧!M5</f>
        <v>0</v>
      </c>
      <c r="I5">
        <f>装備閲覧!N5</f>
        <v>0</v>
      </c>
      <c r="J5">
        <f>装備閲覧!O5</f>
        <v>0</v>
      </c>
      <c r="K5">
        <f>装備閲覧!P5</f>
        <v>0</v>
      </c>
      <c r="L5">
        <f>装備閲覧!R5</f>
        <v>1</v>
      </c>
      <c r="M5">
        <f>装備閲覧!S5</f>
        <v>0</v>
      </c>
      <c r="N5" t="str">
        <f>装備閲覧!T5</f>
        <v>中</v>
      </c>
      <c r="O5">
        <f>装備閲覧!AA5</f>
        <v>0</v>
      </c>
      <c r="P5" s="1" t="str">
        <f>IFERROR(IFERROR(VLOOKUP(C5,改修!A:B,2,0),_xlfn.NUMBERVALUE(VLOOKUP(C5,特殊改修値!C:D,2,0))),"×")</f>
        <v>〇</v>
      </c>
      <c r="Q5" t="str">
        <f>IFERROR(VLOOKUP(C5,装備ボーナス!B:C,2,0),"×")</f>
        <v>×</v>
      </c>
      <c r="R5" t="str">
        <f>VLOOKUP(A5,wikiName!A:B,2,0)</f>
        <v>14cm単装砲</v>
      </c>
    </row>
    <row r="6" spans="1:18" x14ac:dyDescent="0.4">
      <c r="A6">
        <f>装備閲覧!B6</f>
        <v>5</v>
      </c>
      <c r="B6" t="str">
        <f>装備閲覧!C6</f>
        <v>中口径主砲</v>
      </c>
      <c r="C6" t="str">
        <f>装備閲覧!D6</f>
        <v>15.5cm三連装砲</v>
      </c>
      <c r="D6">
        <f>装備閲覧!H6</f>
        <v>2</v>
      </c>
      <c r="E6">
        <f>装備閲覧!J6</f>
        <v>7</v>
      </c>
      <c r="F6">
        <f>装備閲覧!K6</f>
        <v>0</v>
      </c>
      <c r="G6">
        <f>装備閲覧!L6</f>
        <v>4</v>
      </c>
      <c r="H6">
        <f>装備閲覧!M6</f>
        <v>0</v>
      </c>
      <c r="I6">
        <f>装備閲覧!N6</f>
        <v>0</v>
      </c>
      <c r="J6">
        <f>装備閲覧!O6</f>
        <v>0</v>
      </c>
      <c r="K6">
        <f>装備閲覧!P6</f>
        <v>0</v>
      </c>
      <c r="L6">
        <f>装備閲覧!R6</f>
        <v>1</v>
      </c>
      <c r="M6">
        <f>装備閲覧!S6</f>
        <v>0</v>
      </c>
      <c r="N6" t="str">
        <f>装備閲覧!T6</f>
        <v>中</v>
      </c>
      <c r="O6">
        <f>装備閲覧!AA6</f>
        <v>0</v>
      </c>
      <c r="P6" s="1" t="str">
        <f>IFERROR(IFERROR(VLOOKUP(C6,改修!A:B,2,0),_xlfn.NUMBERVALUE(VLOOKUP(C6,特殊改修値!C:D,2,0))),"×")</f>
        <v>〇</v>
      </c>
      <c r="Q6" t="str">
        <f>IFERROR(VLOOKUP(C6,装備ボーナス!B:C,2,0),"×")</f>
        <v>×</v>
      </c>
      <c r="R6" t="str">
        <f>VLOOKUP(A6,wikiName!A:B,2,0)</f>
        <v>15.5cm三連装砲</v>
      </c>
    </row>
    <row r="7" spans="1:18" x14ac:dyDescent="0.4">
      <c r="A7">
        <f>装備閲覧!B7</f>
        <v>6</v>
      </c>
      <c r="B7" t="str">
        <f>装備閲覧!C7</f>
        <v>中口径主砲</v>
      </c>
      <c r="C7" t="str">
        <f>装備閲覧!D7</f>
        <v>20.3cm連装砲</v>
      </c>
      <c r="D7">
        <f>装備閲覧!H7</f>
        <v>2</v>
      </c>
      <c r="E7">
        <f>装備閲覧!J7</f>
        <v>8</v>
      </c>
      <c r="F7">
        <f>装備閲覧!K7</f>
        <v>0</v>
      </c>
      <c r="G7">
        <f>装備閲覧!L7</f>
        <v>3</v>
      </c>
      <c r="H7">
        <f>装備閲覧!M7</f>
        <v>0</v>
      </c>
      <c r="I7">
        <f>装備閲覧!N7</f>
        <v>0</v>
      </c>
      <c r="J7">
        <f>装備閲覧!O7</f>
        <v>0</v>
      </c>
      <c r="K7">
        <f>装備閲覧!P7</f>
        <v>0</v>
      </c>
      <c r="L7">
        <f>装備閲覧!R7</f>
        <v>0</v>
      </c>
      <c r="M7">
        <f>装備閲覧!S7</f>
        <v>0</v>
      </c>
      <c r="N7" t="str">
        <f>装備閲覧!T7</f>
        <v>中</v>
      </c>
      <c r="O7">
        <f>装備閲覧!AA7</f>
        <v>0</v>
      </c>
      <c r="P7" s="1" t="str">
        <f>IFERROR(IFERROR(VLOOKUP(C7,改修!A:B,2,0),_xlfn.NUMBERVALUE(VLOOKUP(C7,特殊改修値!C:D,2,0))),"×")</f>
        <v>〇</v>
      </c>
      <c r="Q7" t="str">
        <f>IFERROR(VLOOKUP(C7,装備ボーナス!B:C,2,0),"×")</f>
        <v>×</v>
      </c>
      <c r="R7" t="str">
        <f>VLOOKUP(A7,wikiName!A:B,2,0)</f>
        <v>20.3cm連装砲</v>
      </c>
    </row>
    <row r="8" spans="1:18" x14ac:dyDescent="0.4">
      <c r="A8">
        <f>装備閲覧!B8</f>
        <v>7</v>
      </c>
      <c r="B8" t="str">
        <f>装備閲覧!C8</f>
        <v>大口径主砲</v>
      </c>
      <c r="C8" t="str">
        <f>装備閲覧!D8</f>
        <v>35.6cm連装砲</v>
      </c>
      <c r="D8">
        <f>装備閲覧!H8</f>
        <v>3</v>
      </c>
      <c r="E8">
        <f>装備閲覧!J8</f>
        <v>15</v>
      </c>
      <c r="F8">
        <f>装備閲覧!K8</f>
        <v>0</v>
      </c>
      <c r="G8">
        <f>装備閲覧!L8</f>
        <v>4</v>
      </c>
      <c r="H8">
        <f>装備閲覧!M8</f>
        <v>0</v>
      </c>
      <c r="I8">
        <f>装備閲覧!N8</f>
        <v>0</v>
      </c>
      <c r="J8">
        <f>装備閲覧!O8</f>
        <v>0</v>
      </c>
      <c r="K8">
        <f>装備閲覧!P8</f>
        <v>0</v>
      </c>
      <c r="L8">
        <f>装備閲覧!R8</f>
        <v>0</v>
      </c>
      <c r="M8">
        <f>装備閲覧!S8</f>
        <v>0</v>
      </c>
      <c r="N8" t="str">
        <f>装備閲覧!T8</f>
        <v>長</v>
      </c>
      <c r="O8">
        <f>装備閲覧!AA8</f>
        <v>0</v>
      </c>
      <c r="P8" s="1" t="str">
        <f>IFERROR(IFERROR(VLOOKUP(C8,改修!A:B,2,0),_xlfn.NUMBERVALUE(VLOOKUP(C8,特殊改修値!C:D,2,0))),"×")</f>
        <v>〇</v>
      </c>
      <c r="Q8" t="str">
        <f>IFERROR(VLOOKUP(C8,装備ボーナス!B:C,2,0),"×")</f>
        <v>×</v>
      </c>
      <c r="R8" t="str">
        <f>VLOOKUP(A8,wikiName!A:B,2,0)</f>
        <v>35.6cm連装砲</v>
      </c>
    </row>
    <row r="9" spans="1:18" x14ac:dyDescent="0.4">
      <c r="A9">
        <f>装備閲覧!B9</f>
        <v>8</v>
      </c>
      <c r="B9" t="str">
        <f>装備閲覧!C9</f>
        <v>大口径主砲</v>
      </c>
      <c r="C9" t="str">
        <f>装備閲覧!D9</f>
        <v>41cm連装砲</v>
      </c>
      <c r="D9">
        <f>装備閲覧!H9</f>
        <v>3</v>
      </c>
      <c r="E9">
        <f>装備閲覧!J9</f>
        <v>20</v>
      </c>
      <c r="F9">
        <f>装備閲覧!K9</f>
        <v>0</v>
      </c>
      <c r="G9">
        <f>装備閲覧!L9</f>
        <v>4</v>
      </c>
      <c r="H9">
        <f>装備閲覧!M9</f>
        <v>0</v>
      </c>
      <c r="I9">
        <f>装備閲覧!N9</f>
        <v>0</v>
      </c>
      <c r="J9">
        <f>装備閲覧!O9</f>
        <v>0</v>
      </c>
      <c r="K9">
        <f>装備閲覧!P9</f>
        <v>0</v>
      </c>
      <c r="L9">
        <f>装備閲覧!R9</f>
        <v>0</v>
      </c>
      <c r="M9">
        <f>装備閲覧!S9</f>
        <v>0</v>
      </c>
      <c r="N9" t="str">
        <f>装備閲覧!T9</f>
        <v>長</v>
      </c>
      <c r="O9">
        <f>装備閲覧!AA9</f>
        <v>0</v>
      </c>
      <c r="P9" s="1" t="str">
        <f>IFERROR(IFERROR(VLOOKUP(C9,改修!A:B,2,0),_xlfn.NUMBERVALUE(VLOOKUP(C9,特殊改修値!C:D,2,0))),"×")</f>
        <v>〇</v>
      </c>
      <c r="Q9" t="str">
        <f>IFERROR(VLOOKUP(C9,装備ボーナス!B:C,2,0),"×")</f>
        <v>×</v>
      </c>
      <c r="R9" t="str">
        <f>VLOOKUP(A9,wikiName!A:B,2,0)</f>
        <v>41cm連装砲</v>
      </c>
    </row>
    <row r="10" spans="1:18" x14ac:dyDescent="0.4">
      <c r="A10">
        <f>装備閲覧!B10</f>
        <v>9</v>
      </c>
      <c r="B10" t="str">
        <f>装備閲覧!C10</f>
        <v>大口径主砲</v>
      </c>
      <c r="C10" t="str">
        <f>装備閲覧!D10</f>
        <v>46cm三連装砲</v>
      </c>
      <c r="D10">
        <f>装備閲覧!H10</f>
        <v>3</v>
      </c>
      <c r="E10">
        <f>装備閲覧!J10</f>
        <v>26</v>
      </c>
      <c r="F10">
        <f>装備閲覧!K10</f>
        <v>0</v>
      </c>
      <c r="G10">
        <f>装備閲覧!L10</f>
        <v>5</v>
      </c>
      <c r="H10">
        <f>装備閲覧!M10</f>
        <v>0</v>
      </c>
      <c r="I10">
        <f>装備閲覧!N10</f>
        <v>0</v>
      </c>
      <c r="J10">
        <f>装備閲覧!O10</f>
        <v>0</v>
      </c>
      <c r="K10">
        <f>装備閲覧!P10</f>
        <v>0</v>
      </c>
      <c r="L10">
        <f>装備閲覧!R10</f>
        <v>0</v>
      </c>
      <c r="M10">
        <f>装備閲覧!S10</f>
        <v>0</v>
      </c>
      <c r="N10" t="str">
        <f>装備閲覧!T10</f>
        <v>超長</v>
      </c>
      <c r="O10">
        <f>装備閲覧!AA10</f>
        <v>0</v>
      </c>
      <c r="P10" s="1" t="str">
        <f>IFERROR(IFERROR(VLOOKUP(C10,改修!A:B,2,0),_xlfn.NUMBERVALUE(VLOOKUP(C10,特殊改修値!C:D,2,0))),"×")</f>
        <v>〇</v>
      </c>
      <c r="Q10" t="str">
        <f>IFERROR(VLOOKUP(C10,装備ボーナス!B:C,2,0),"×")</f>
        <v>×</v>
      </c>
      <c r="R10" t="str">
        <f>VLOOKUP(A10,wikiName!A:B,2,0)</f>
        <v>46cm三連装砲</v>
      </c>
    </row>
    <row r="11" spans="1:18" x14ac:dyDescent="0.4">
      <c r="A11">
        <f>装備閲覧!B11</f>
        <v>10</v>
      </c>
      <c r="B11" t="str">
        <f>装備閲覧!C11</f>
        <v>副砲</v>
      </c>
      <c r="C11" t="str">
        <f>装備閲覧!D11</f>
        <v>12.7cm連装高角砲</v>
      </c>
      <c r="D11">
        <f>装備閲覧!H11</f>
        <v>16</v>
      </c>
      <c r="E11">
        <f>装備閲覧!J11</f>
        <v>2</v>
      </c>
      <c r="F11">
        <f>装備閲覧!K11</f>
        <v>0</v>
      </c>
      <c r="G11">
        <f>装備閲覧!L11</f>
        <v>4</v>
      </c>
      <c r="H11">
        <f>装備閲覧!M11</f>
        <v>0</v>
      </c>
      <c r="I11">
        <f>装備閲覧!N11</f>
        <v>0</v>
      </c>
      <c r="J11">
        <f>装備閲覧!O11</f>
        <v>0</v>
      </c>
      <c r="K11">
        <f>装備閲覧!P11</f>
        <v>0</v>
      </c>
      <c r="L11">
        <f>装備閲覧!R11</f>
        <v>1</v>
      </c>
      <c r="M11">
        <f>装備閲覧!S11</f>
        <v>0</v>
      </c>
      <c r="N11" t="str">
        <f>装備閲覧!T11</f>
        <v>短</v>
      </c>
      <c r="O11">
        <f>装備閲覧!AA11</f>
        <v>0</v>
      </c>
      <c r="P11" s="1" t="str">
        <f>IFERROR(IFERROR(VLOOKUP(C11,改修!A:B,2,0),_xlfn.NUMBERVALUE(VLOOKUP(C11,特殊改修値!C:D,2,0))),"×")</f>
        <v>〇</v>
      </c>
      <c r="Q11" t="str">
        <f>IFERROR(VLOOKUP(C11,装備ボーナス!B:C,2,0),"×")</f>
        <v>×</v>
      </c>
      <c r="R11" t="str">
        <f>VLOOKUP(A11,wikiName!A:B,2,0)</f>
        <v>12.7cm連装高角砲</v>
      </c>
    </row>
    <row r="12" spans="1:18" x14ac:dyDescent="0.4">
      <c r="A12">
        <f>装備閲覧!B12</f>
        <v>11</v>
      </c>
      <c r="B12" t="str">
        <f>装備閲覧!C12</f>
        <v>副砲</v>
      </c>
      <c r="C12" t="str">
        <f>装備閲覧!D12</f>
        <v>15.2cm単装砲</v>
      </c>
      <c r="D12">
        <f>装備閲覧!H12</f>
        <v>4</v>
      </c>
      <c r="E12">
        <f>装備閲覧!J12</f>
        <v>2</v>
      </c>
      <c r="F12">
        <f>装備閲覧!K12</f>
        <v>0</v>
      </c>
      <c r="G12">
        <f>装備閲覧!L12</f>
        <v>0</v>
      </c>
      <c r="H12">
        <f>装備閲覧!M12</f>
        <v>0</v>
      </c>
      <c r="I12">
        <f>装備閲覧!N12</f>
        <v>0</v>
      </c>
      <c r="J12">
        <f>装備閲覧!O12</f>
        <v>0</v>
      </c>
      <c r="K12">
        <f>装備閲覧!P12</f>
        <v>0</v>
      </c>
      <c r="L12">
        <f>装備閲覧!R12</f>
        <v>1</v>
      </c>
      <c r="M12">
        <f>装備閲覧!S12</f>
        <v>0</v>
      </c>
      <c r="N12" t="str">
        <f>装備閲覧!T12</f>
        <v>中</v>
      </c>
      <c r="O12">
        <f>装備閲覧!AA12</f>
        <v>0</v>
      </c>
      <c r="P12" s="1" t="str">
        <f>IFERROR(IFERROR(VLOOKUP(C12,改修!A:B,2,0),_xlfn.NUMBERVALUE(VLOOKUP(C12,特殊改修値!C:D,2,0))),"×")</f>
        <v>〇</v>
      </c>
      <c r="Q12" t="str">
        <f>IFERROR(VLOOKUP(C12,装備ボーナス!B:C,2,0),"×")</f>
        <v>×</v>
      </c>
      <c r="R12" t="str">
        <f>VLOOKUP(A12,wikiName!A:B,2,0)</f>
        <v>15.2cm単装砲</v>
      </c>
    </row>
    <row r="13" spans="1:18" x14ac:dyDescent="0.4">
      <c r="A13">
        <f>装備閲覧!B13</f>
        <v>12</v>
      </c>
      <c r="B13" t="str">
        <f>装備閲覧!C13</f>
        <v>副砲</v>
      </c>
      <c r="C13" t="str">
        <f>装備閲覧!D13</f>
        <v>15.5cm三連装副砲</v>
      </c>
      <c r="D13">
        <f>装備閲覧!H13</f>
        <v>4</v>
      </c>
      <c r="E13">
        <f>装備閲覧!J13</f>
        <v>7</v>
      </c>
      <c r="F13">
        <f>装備閲覧!K13</f>
        <v>0</v>
      </c>
      <c r="G13">
        <f>装備閲覧!L13</f>
        <v>3</v>
      </c>
      <c r="H13">
        <f>装備閲覧!M13</f>
        <v>0</v>
      </c>
      <c r="I13">
        <f>装備閲覧!N13</f>
        <v>0</v>
      </c>
      <c r="J13">
        <f>装備閲覧!O13</f>
        <v>0</v>
      </c>
      <c r="K13">
        <f>装備閲覧!P13</f>
        <v>0</v>
      </c>
      <c r="L13">
        <f>装備閲覧!R13</f>
        <v>2</v>
      </c>
      <c r="M13">
        <f>装備閲覧!S13</f>
        <v>0</v>
      </c>
      <c r="N13" t="str">
        <f>装備閲覧!T13</f>
        <v>中</v>
      </c>
      <c r="O13">
        <f>装備閲覧!AA13</f>
        <v>0</v>
      </c>
      <c r="P13" s="1" t="str">
        <f>IFERROR(IFERROR(VLOOKUP(C13,改修!A:B,2,0),_xlfn.NUMBERVALUE(VLOOKUP(C13,特殊改修値!C:D,2,0))),"×")</f>
        <v>〇</v>
      </c>
      <c r="Q13" t="str">
        <f>IFERROR(VLOOKUP(C13,装備ボーナス!B:C,2,0),"×")</f>
        <v>×</v>
      </c>
      <c r="R13" t="str">
        <f>VLOOKUP(A13,wikiName!A:B,2,0)</f>
        <v>15.5cm三連装副砲</v>
      </c>
    </row>
    <row r="14" spans="1:18" x14ac:dyDescent="0.4">
      <c r="A14">
        <f>装備閲覧!B14</f>
        <v>13</v>
      </c>
      <c r="B14" t="str">
        <f>装備閲覧!C14</f>
        <v>魚雷</v>
      </c>
      <c r="C14" t="str">
        <f>装備閲覧!D14</f>
        <v>61cm三連装魚雷</v>
      </c>
      <c r="D14">
        <f>装備閲覧!H14</f>
        <v>5</v>
      </c>
      <c r="E14">
        <f>装備閲覧!J14</f>
        <v>0</v>
      </c>
      <c r="F14">
        <f>装備閲覧!K14</f>
        <v>5</v>
      </c>
      <c r="G14">
        <f>装備閲覧!L14</f>
        <v>0</v>
      </c>
      <c r="H14">
        <f>装備閲覧!M14</f>
        <v>0</v>
      </c>
      <c r="I14">
        <f>装備閲覧!N14</f>
        <v>0</v>
      </c>
      <c r="J14">
        <f>装備閲覧!O14</f>
        <v>0</v>
      </c>
      <c r="K14">
        <f>装備閲覧!P14</f>
        <v>0</v>
      </c>
      <c r="L14">
        <f>装備閲覧!R14</f>
        <v>0</v>
      </c>
      <c r="M14">
        <f>装備閲覧!S14</f>
        <v>0</v>
      </c>
      <c r="N14" t="str">
        <f>装備閲覧!T14</f>
        <v>短</v>
      </c>
      <c r="O14">
        <f>装備閲覧!AA14</f>
        <v>0</v>
      </c>
      <c r="P14" s="1" t="str">
        <f>IFERROR(IFERROR(VLOOKUP(C14,改修!A:B,2,0),_xlfn.NUMBERVALUE(VLOOKUP(C14,特殊改修値!C:D,2,0))),"×")</f>
        <v>〇</v>
      </c>
      <c r="Q14" t="str">
        <f>IFERROR(VLOOKUP(C14,装備ボーナス!B:C,2,0),"×")</f>
        <v>×</v>
      </c>
      <c r="R14" t="str">
        <f>VLOOKUP(A14,wikiName!A:B,2,0)</f>
        <v>61cm三連装魚雷</v>
      </c>
    </row>
    <row r="15" spans="1:18" x14ac:dyDescent="0.4">
      <c r="A15">
        <f>装備閲覧!B15</f>
        <v>14</v>
      </c>
      <c r="B15" t="str">
        <f>装備閲覧!C15</f>
        <v>魚雷</v>
      </c>
      <c r="C15" t="str">
        <f>装備閲覧!D15</f>
        <v>61cm四連装魚雷</v>
      </c>
      <c r="D15">
        <f>装備閲覧!H15</f>
        <v>5</v>
      </c>
      <c r="E15">
        <f>装備閲覧!J15</f>
        <v>0</v>
      </c>
      <c r="F15">
        <f>装備閲覧!K15</f>
        <v>7</v>
      </c>
      <c r="G15">
        <f>装備閲覧!L15</f>
        <v>0</v>
      </c>
      <c r="H15">
        <f>装備閲覧!M15</f>
        <v>0</v>
      </c>
      <c r="I15">
        <f>装備閲覧!N15</f>
        <v>0</v>
      </c>
      <c r="J15">
        <f>装備閲覧!O15</f>
        <v>0</v>
      </c>
      <c r="K15">
        <f>装備閲覧!P15</f>
        <v>0</v>
      </c>
      <c r="L15">
        <f>装備閲覧!R15</f>
        <v>0</v>
      </c>
      <c r="M15">
        <f>装備閲覧!S15</f>
        <v>0</v>
      </c>
      <c r="N15" t="str">
        <f>装備閲覧!T15</f>
        <v>短</v>
      </c>
      <c r="O15">
        <f>装備閲覧!AA15</f>
        <v>0</v>
      </c>
      <c r="P15" s="1" t="str">
        <f>IFERROR(IFERROR(VLOOKUP(C15,改修!A:B,2,0),_xlfn.NUMBERVALUE(VLOOKUP(C15,特殊改修値!C:D,2,0))),"×")</f>
        <v>〇</v>
      </c>
      <c r="Q15" t="str">
        <f>IFERROR(VLOOKUP(C15,装備ボーナス!B:C,2,0),"×")</f>
        <v>×</v>
      </c>
      <c r="R15" t="str">
        <f>VLOOKUP(A15,wikiName!A:B,2,0)</f>
        <v>61cm四連装魚雷</v>
      </c>
    </row>
    <row r="16" spans="1:18" x14ac:dyDescent="0.4">
      <c r="A16">
        <f>装備閲覧!B16</f>
        <v>15</v>
      </c>
      <c r="B16" t="str">
        <f>装備閲覧!C16</f>
        <v>魚雷</v>
      </c>
      <c r="C16" t="str">
        <f>装備閲覧!D16</f>
        <v>61cm四連装(酸素)魚雷</v>
      </c>
      <c r="D16">
        <f>装備閲覧!H16</f>
        <v>5</v>
      </c>
      <c r="E16">
        <f>装備閲覧!J16</f>
        <v>0</v>
      </c>
      <c r="F16">
        <f>装備閲覧!K16</f>
        <v>10</v>
      </c>
      <c r="G16">
        <f>装備閲覧!L16</f>
        <v>0</v>
      </c>
      <c r="H16">
        <f>装備閲覧!M16</f>
        <v>0</v>
      </c>
      <c r="I16">
        <f>装備閲覧!N16</f>
        <v>0</v>
      </c>
      <c r="J16">
        <f>装備閲覧!O16</f>
        <v>0</v>
      </c>
      <c r="K16">
        <f>装備閲覧!P16</f>
        <v>0</v>
      </c>
      <c r="L16">
        <f>装備閲覧!R16</f>
        <v>0</v>
      </c>
      <c r="M16">
        <f>装備閲覧!S16</f>
        <v>0</v>
      </c>
      <c r="N16" t="str">
        <f>装備閲覧!T16</f>
        <v>短</v>
      </c>
      <c r="O16">
        <f>装備閲覧!AA16</f>
        <v>0</v>
      </c>
      <c r="P16" s="1" t="str">
        <f>IFERROR(IFERROR(VLOOKUP(C16,改修!A:B,2,0),_xlfn.NUMBERVALUE(VLOOKUP(C16,特殊改修値!C:D,2,0))),"×")</f>
        <v>〇</v>
      </c>
      <c r="Q16" t="str">
        <f>IFERROR(VLOOKUP(C16,装備ボーナス!B:C,2,0),"×")</f>
        <v>〇</v>
      </c>
      <c r="R16" t="str">
        <f>VLOOKUP(A16,wikiName!A:B,2,0)</f>
        <v>61cm四連装(酸素)魚雷</v>
      </c>
    </row>
    <row r="17" spans="1:18" x14ac:dyDescent="0.4">
      <c r="A17">
        <f>装備閲覧!B17</f>
        <v>16</v>
      </c>
      <c r="B17" t="str">
        <f>装備閲覧!C17</f>
        <v>艦上攻撃機</v>
      </c>
      <c r="C17" t="str">
        <f>装備閲覧!D17</f>
        <v>九七式艦攻</v>
      </c>
      <c r="D17">
        <f>装備閲覧!H17</f>
        <v>8</v>
      </c>
      <c r="E17">
        <f>装備閲覧!J17</f>
        <v>0</v>
      </c>
      <c r="F17">
        <f>装備閲覧!K17</f>
        <v>5</v>
      </c>
      <c r="G17">
        <f>装備閲覧!L17</f>
        <v>0</v>
      </c>
      <c r="H17">
        <f>装備閲覧!M17</f>
        <v>0</v>
      </c>
      <c r="I17">
        <f>装備閲覧!N17</f>
        <v>4</v>
      </c>
      <c r="J17">
        <f>装備閲覧!O17</f>
        <v>0</v>
      </c>
      <c r="K17">
        <f>装備閲覧!P17</f>
        <v>1</v>
      </c>
      <c r="L17">
        <f>装備閲覧!R17</f>
        <v>0</v>
      </c>
      <c r="M17">
        <f>装備閲覧!S17</f>
        <v>0</v>
      </c>
      <c r="N17" t="str">
        <f>装備閲覧!T17</f>
        <v>無</v>
      </c>
      <c r="O17">
        <f>装備閲覧!AA17</f>
        <v>4</v>
      </c>
      <c r="P17" s="1" t="str">
        <f>IFERROR(IFERROR(VLOOKUP(C17,改修!A:B,2,0),_xlfn.NUMBERVALUE(VLOOKUP(C17,特殊改修値!C:D,2,0))),"×")</f>
        <v>〇</v>
      </c>
      <c r="Q17" t="str">
        <f>IFERROR(VLOOKUP(C17,装備ボーナス!B:C,2,0),"×")</f>
        <v>×</v>
      </c>
      <c r="R17" t="str">
        <f>VLOOKUP(A17,wikiName!A:B,2,0)</f>
        <v>九七式艦攻</v>
      </c>
    </row>
    <row r="18" spans="1:18" x14ac:dyDescent="0.4">
      <c r="A18">
        <f>装備閲覧!B18</f>
        <v>17</v>
      </c>
      <c r="B18" t="str">
        <f>装備閲覧!C18</f>
        <v>艦上攻撃機</v>
      </c>
      <c r="C18" t="str">
        <f>装備閲覧!D18</f>
        <v>天山</v>
      </c>
      <c r="D18">
        <f>装備閲覧!H18</f>
        <v>8</v>
      </c>
      <c r="E18">
        <f>装備閲覧!J18</f>
        <v>0</v>
      </c>
      <c r="F18">
        <f>装備閲覧!K18</f>
        <v>7</v>
      </c>
      <c r="G18">
        <f>装備閲覧!L18</f>
        <v>0</v>
      </c>
      <c r="H18">
        <f>装備閲覧!M18</f>
        <v>0</v>
      </c>
      <c r="I18">
        <f>装備閲覧!N18</f>
        <v>3</v>
      </c>
      <c r="J18">
        <f>装備閲覧!O18</f>
        <v>0</v>
      </c>
      <c r="K18">
        <f>装備閲覧!P18</f>
        <v>1</v>
      </c>
      <c r="L18">
        <f>装備閲覧!R18</f>
        <v>0</v>
      </c>
      <c r="M18">
        <f>装備閲覧!S18</f>
        <v>0</v>
      </c>
      <c r="N18" t="str">
        <f>装備閲覧!T18</f>
        <v>無</v>
      </c>
      <c r="O18">
        <f>装備閲覧!AA18</f>
        <v>5</v>
      </c>
      <c r="P18" s="1" t="str">
        <f>IFERROR(IFERROR(VLOOKUP(C18,改修!A:B,2,0),_xlfn.NUMBERVALUE(VLOOKUP(C18,特殊改修値!C:D,2,0))),"×")</f>
        <v>〇</v>
      </c>
      <c r="Q18" t="str">
        <f>IFERROR(VLOOKUP(C18,装備ボーナス!B:C,2,0),"×")</f>
        <v>×</v>
      </c>
      <c r="R18" t="str">
        <f>VLOOKUP(A18,wikiName!A:B,2,0)</f>
        <v>天山</v>
      </c>
    </row>
    <row r="19" spans="1:18" x14ac:dyDescent="0.4">
      <c r="A19">
        <f>装備閲覧!B19</f>
        <v>18</v>
      </c>
      <c r="B19" t="str">
        <f>装備閲覧!C19</f>
        <v>艦上攻撃機</v>
      </c>
      <c r="C19" t="str">
        <f>装備閲覧!D19</f>
        <v>流星</v>
      </c>
      <c r="D19">
        <f>装備閲覧!H19</f>
        <v>8</v>
      </c>
      <c r="E19">
        <f>装備閲覧!J19</f>
        <v>0</v>
      </c>
      <c r="F19">
        <f>装備閲覧!K19</f>
        <v>10</v>
      </c>
      <c r="G19">
        <f>装備閲覧!L19</f>
        <v>1</v>
      </c>
      <c r="H19">
        <f>装備閲覧!M19</f>
        <v>0</v>
      </c>
      <c r="I19">
        <f>装備閲覧!N19</f>
        <v>4</v>
      </c>
      <c r="J19">
        <f>装備閲覧!O19</f>
        <v>0</v>
      </c>
      <c r="K19">
        <f>装備閲覧!P19</f>
        <v>1</v>
      </c>
      <c r="L19">
        <f>装備閲覧!R19</f>
        <v>0</v>
      </c>
      <c r="M19">
        <f>装備閲覧!S19</f>
        <v>0</v>
      </c>
      <c r="N19" t="str">
        <f>装備閲覧!T19</f>
        <v>無</v>
      </c>
      <c r="O19">
        <f>装備閲覧!AA19</f>
        <v>6</v>
      </c>
      <c r="P19" s="1" t="str">
        <f>IFERROR(IFERROR(VLOOKUP(C19,改修!A:B,2,0),_xlfn.NUMBERVALUE(VLOOKUP(C19,特殊改修値!C:D,2,0))),"×")</f>
        <v>×</v>
      </c>
      <c r="Q19" t="str">
        <f>IFERROR(VLOOKUP(C19,装備ボーナス!B:C,2,0),"×")</f>
        <v>〇</v>
      </c>
      <c r="R19" t="str">
        <f>VLOOKUP(A19,wikiName!A:B,2,0)</f>
        <v>流星</v>
      </c>
    </row>
    <row r="20" spans="1:18" x14ac:dyDescent="0.4">
      <c r="A20">
        <f>装備閲覧!B20</f>
        <v>19</v>
      </c>
      <c r="B20" t="str">
        <f>装備閲覧!C20</f>
        <v>艦上戦闘機</v>
      </c>
      <c r="C20" t="str">
        <f>装備閲覧!D20</f>
        <v>九六式艦戦</v>
      </c>
      <c r="D20">
        <f>装備閲覧!H20</f>
        <v>6</v>
      </c>
      <c r="E20">
        <f>装備閲覧!J20</f>
        <v>0</v>
      </c>
      <c r="F20">
        <f>装備閲覧!K20</f>
        <v>0</v>
      </c>
      <c r="G20">
        <f>装備閲覧!L20</f>
        <v>3</v>
      </c>
      <c r="H20">
        <f>装備閲覧!M20</f>
        <v>0</v>
      </c>
      <c r="I20">
        <f>装備閲覧!N20</f>
        <v>0</v>
      </c>
      <c r="J20">
        <f>装備閲覧!O20</f>
        <v>1</v>
      </c>
      <c r="K20">
        <f>装備閲覧!P20</f>
        <v>0</v>
      </c>
      <c r="L20">
        <f>装備閲覧!R20</f>
        <v>0</v>
      </c>
      <c r="M20">
        <f>装備閲覧!S20</f>
        <v>0</v>
      </c>
      <c r="N20" t="str">
        <f>装備閲覧!T20</f>
        <v>無</v>
      </c>
      <c r="O20">
        <f>装備閲覧!AA20</f>
        <v>3</v>
      </c>
      <c r="P20" s="1" t="str">
        <f>IFERROR(IFERROR(VLOOKUP(C20,改修!A:B,2,0),_xlfn.NUMBERVALUE(VLOOKUP(C20,特殊改修値!C:D,2,0))),"×")</f>
        <v>〇</v>
      </c>
      <c r="Q20" t="str">
        <f>IFERROR(VLOOKUP(C20,装備ボーナス!B:C,2,0),"×")</f>
        <v>〇</v>
      </c>
      <c r="R20" t="str">
        <f>VLOOKUP(A20,wikiName!A:B,2,0)</f>
        <v>九六式艦戦</v>
      </c>
    </row>
    <row r="21" spans="1:18" x14ac:dyDescent="0.4">
      <c r="A21">
        <f>装備閲覧!B21</f>
        <v>20</v>
      </c>
      <c r="B21" t="str">
        <f>装備閲覧!C21</f>
        <v>艦上戦闘機</v>
      </c>
      <c r="C21" t="str">
        <f>装備閲覧!D21</f>
        <v>零式艦戦21型</v>
      </c>
      <c r="D21">
        <f>装備閲覧!H21</f>
        <v>6</v>
      </c>
      <c r="E21">
        <f>装備閲覧!J21</f>
        <v>0</v>
      </c>
      <c r="F21">
        <f>装備閲覧!K21</f>
        <v>0</v>
      </c>
      <c r="G21">
        <f>装備閲覧!L21</f>
        <v>5</v>
      </c>
      <c r="H21">
        <f>装備閲覧!M21</f>
        <v>0</v>
      </c>
      <c r="I21">
        <f>装備閲覧!N21</f>
        <v>0</v>
      </c>
      <c r="J21">
        <f>装備閲覧!O21</f>
        <v>0</v>
      </c>
      <c r="K21">
        <f>装備閲覧!P21</f>
        <v>0</v>
      </c>
      <c r="L21">
        <f>装備閲覧!R21</f>
        <v>0</v>
      </c>
      <c r="M21">
        <f>装備閲覧!S21</f>
        <v>0</v>
      </c>
      <c r="N21" t="str">
        <f>装備閲覧!T21</f>
        <v>無</v>
      </c>
      <c r="O21">
        <f>装備閲覧!AA21</f>
        <v>7</v>
      </c>
      <c r="P21" s="1" t="str">
        <f>IFERROR(IFERROR(VLOOKUP(C21,改修!A:B,2,0),_xlfn.NUMBERVALUE(VLOOKUP(C21,特殊改修値!C:D,2,0))),"×")</f>
        <v>〇</v>
      </c>
      <c r="Q21" t="str">
        <f>IFERROR(VLOOKUP(C21,装備ボーナス!B:C,2,0),"×")</f>
        <v>×</v>
      </c>
      <c r="R21" t="str">
        <f>VLOOKUP(A21,wikiName!A:B,2,0)</f>
        <v>零式艦戦21型</v>
      </c>
    </row>
    <row r="22" spans="1:18" x14ac:dyDescent="0.4">
      <c r="A22">
        <f>装備閲覧!B22</f>
        <v>21</v>
      </c>
      <c r="B22" t="str">
        <f>装備閲覧!C22</f>
        <v>艦上戦闘機</v>
      </c>
      <c r="C22" t="str">
        <f>装備閲覧!D22</f>
        <v>零式艦戦52型</v>
      </c>
      <c r="D22">
        <f>装備閲覧!H22</f>
        <v>6</v>
      </c>
      <c r="E22">
        <f>装備閲覧!J22</f>
        <v>0</v>
      </c>
      <c r="F22">
        <f>装備閲覧!K22</f>
        <v>0</v>
      </c>
      <c r="G22">
        <f>装備閲覧!L22</f>
        <v>6</v>
      </c>
      <c r="H22">
        <f>装備閲覧!M22</f>
        <v>0</v>
      </c>
      <c r="I22">
        <f>装備閲覧!N22</f>
        <v>0</v>
      </c>
      <c r="J22">
        <f>装備閲覧!O22</f>
        <v>0</v>
      </c>
      <c r="K22">
        <f>装備閲覧!P22</f>
        <v>0</v>
      </c>
      <c r="L22">
        <f>装備閲覧!R22</f>
        <v>0</v>
      </c>
      <c r="M22">
        <f>装備閲覧!S22</f>
        <v>0</v>
      </c>
      <c r="N22" t="str">
        <f>装備閲覧!T22</f>
        <v>無</v>
      </c>
      <c r="O22">
        <f>装備閲覧!AA22</f>
        <v>6</v>
      </c>
      <c r="P22" s="1" t="str">
        <f>IFERROR(IFERROR(VLOOKUP(C22,改修!A:B,2,0),_xlfn.NUMBERVALUE(VLOOKUP(C22,特殊改修値!C:D,2,0))),"×")</f>
        <v>〇</v>
      </c>
      <c r="Q22" t="str">
        <f>IFERROR(VLOOKUP(C22,装備ボーナス!B:C,2,0),"×")</f>
        <v>×</v>
      </c>
      <c r="R22" t="str">
        <f>VLOOKUP(A22,wikiName!A:B,2,0)</f>
        <v>零式艦戦52型</v>
      </c>
    </row>
    <row r="23" spans="1:18" x14ac:dyDescent="0.4">
      <c r="A23">
        <f>装備閲覧!B23</f>
        <v>22</v>
      </c>
      <c r="B23" t="str">
        <f>装備閲覧!C23</f>
        <v>艦上戦闘機</v>
      </c>
      <c r="C23" t="str">
        <f>装備閲覧!D23</f>
        <v>試製烈風 後期型</v>
      </c>
      <c r="D23">
        <f>装備閲覧!H23</f>
        <v>6</v>
      </c>
      <c r="E23">
        <f>装備閲覧!J23</f>
        <v>0</v>
      </c>
      <c r="F23">
        <f>装備閲覧!K23</f>
        <v>0</v>
      </c>
      <c r="G23">
        <f>装備閲覧!L23</f>
        <v>10</v>
      </c>
      <c r="H23">
        <f>装備閲覧!M23</f>
        <v>0</v>
      </c>
      <c r="I23">
        <f>装備閲覧!N23</f>
        <v>0</v>
      </c>
      <c r="J23">
        <f>装備閲覧!O23</f>
        <v>0</v>
      </c>
      <c r="K23">
        <f>装備閲覧!P23</f>
        <v>0</v>
      </c>
      <c r="L23">
        <f>装備閲覧!R23</f>
        <v>0</v>
      </c>
      <c r="M23">
        <f>装備閲覧!S23</f>
        <v>0</v>
      </c>
      <c r="N23" t="str">
        <f>装備閲覧!T23</f>
        <v>無</v>
      </c>
      <c r="O23">
        <f>装備閲覧!AA23</f>
        <v>5</v>
      </c>
      <c r="P23" s="1" t="str">
        <f>IFERROR(IFERROR(VLOOKUP(C23,改修!A:B,2,0),_xlfn.NUMBERVALUE(VLOOKUP(C23,特殊改修値!C:D,2,0))),"×")</f>
        <v>×</v>
      </c>
      <c r="Q23" t="str">
        <f>IFERROR(VLOOKUP(C23,装備ボーナス!B:C,2,0),"×")</f>
        <v>×</v>
      </c>
      <c r="R23" t="str">
        <f>VLOOKUP(A23,wikiName!A:B,2,0)</f>
        <v>試製烈風 後期型</v>
      </c>
    </row>
    <row r="24" spans="1:18" x14ac:dyDescent="0.4">
      <c r="A24">
        <f>装備閲覧!B24</f>
        <v>23</v>
      </c>
      <c r="B24" t="str">
        <f>装備閲覧!C24</f>
        <v>艦上爆撃機</v>
      </c>
      <c r="C24" t="str">
        <f>装備閲覧!D24</f>
        <v>九九式艦爆</v>
      </c>
      <c r="D24">
        <f>装備閲覧!H24</f>
        <v>7</v>
      </c>
      <c r="E24">
        <f>装備閲覧!J24</f>
        <v>0</v>
      </c>
      <c r="F24">
        <f>装備閲覧!K24</f>
        <v>0</v>
      </c>
      <c r="G24">
        <f>装備閲覧!L24</f>
        <v>0</v>
      </c>
      <c r="H24">
        <f>装備閲覧!M24</f>
        <v>0</v>
      </c>
      <c r="I24">
        <f>装備閲覧!N24</f>
        <v>3</v>
      </c>
      <c r="J24">
        <f>装備閲覧!O24</f>
        <v>0</v>
      </c>
      <c r="K24">
        <f>装備閲覧!P24</f>
        <v>0</v>
      </c>
      <c r="L24">
        <f>装備閲覧!R24</f>
        <v>0</v>
      </c>
      <c r="M24">
        <f>装備閲覧!S24</f>
        <v>5</v>
      </c>
      <c r="N24" t="str">
        <f>装備閲覧!T24</f>
        <v>無</v>
      </c>
      <c r="O24">
        <f>装備閲覧!AA24</f>
        <v>4</v>
      </c>
      <c r="P24" s="1" t="str">
        <f>IFERROR(IFERROR(VLOOKUP(C24,改修!A:B,2,0),_xlfn.NUMBERVALUE(VLOOKUP(C24,特殊改修値!C:D,2,0))),"×")</f>
        <v>×</v>
      </c>
      <c r="Q24" t="str">
        <f>IFERROR(VLOOKUP(C24,装備ボーナス!B:C,2,0),"×")</f>
        <v>×</v>
      </c>
      <c r="R24" t="str">
        <f>VLOOKUP(A24,wikiName!A:B,2,0)</f>
        <v>九九式艦爆</v>
      </c>
    </row>
    <row r="25" spans="1:18" x14ac:dyDescent="0.4">
      <c r="A25">
        <f>装備閲覧!B25</f>
        <v>24</v>
      </c>
      <c r="B25" t="str">
        <f>装備閲覧!C25</f>
        <v>艦上爆撃機</v>
      </c>
      <c r="C25" t="str">
        <f>装備閲覧!D25</f>
        <v>彗星</v>
      </c>
      <c r="D25">
        <f>装備閲覧!H25</f>
        <v>7</v>
      </c>
      <c r="E25">
        <f>装備閲覧!J25</f>
        <v>0</v>
      </c>
      <c r="F25">
        <f>装備閲覧!K25</f>
        <v>0</v>
      </c>
      <c r="G25">
        <f>装備閲覧!L25</f>
        <v>0</v>
      </c>
      <c r="H25">
        <f>装備閲覧!M25</f>
        <v>0</v>
      </c>
      <c r="I25">
        <f>装備閲覧!N25</f>
        <v>3</v>
      </c>
      <c r="J25">
        <f>装備閲覧!O25</f>
        <v>0</v>
      </c>
      <c r="K25">
        <f>装備閲覧!P25</f>
        <v>0</v>
      </c>
      <c r="L25">
        <f>装備閲覧!R25</f>
        <v>0</v>
      </c>
      <c r="M25">
        <f>装備閲覧!S25</f>
        <v>8</v>
      </c>
      <c r="N25" t="str">
        <f>装備閲覧!T25</f>
        <v>無</v>
      </c>
      <c r="O25">
        <f>装備閲覧!AA25</f>
        <v>4</v>
      </c>
      <c r="P25" s="1" t="str">
        <f>IFERROR(IFERROR(VLOOKUP(C25,改修!A:B,2,0),_xlfn.NUMBERVALUE(VLOOKUP(C25,特殊改修値!C:D,2,0))),"×")</f>
        <v>×</v>
      </c>
      <c r="Q25" t="str">
        <f>IFERROR(VLOOKUP(C25,装備ボーナス!B:C,2,0),"×")</f>
        <v>〇</v>
      </c>
      <c r="R25" t="str">
        <f>VLOOKUP(A25,wikiName!A:B,2,0)</f>
        <v>彗星</v>
      </c>
    </row>
    <row r="26" spans="1:18" x14ac:dyDescent="0.4">
      <c r="A26">
        <f>装備閲覧!B26</f>
        <v>25</v>
      </c>
      <c r="B26" t="str">
        <f>装備閲覧!C26</f>
        <v>水上偵察機</v>
      </c>
      <c r="C26" t="str">
        <f>装備閲覧!D26</f>
        <v>零式水上偵察機</v>
      </c>
      <c r="D26">
        <f>装備閲覧!H26</f>
        <v>10</v>
      </c>
      <c r="E26">
        <f>装備閲覧!J26</f>
        <v>0</v>
      </c>
      <c r="F26">
        <f>装備閲覧!K26</f>
        <v>0</v>
      </c>
      <c r="G26">
        <f>装備閲覧!L26</f>
        <v>1</v>
      </c>
      <c r="H26">
        <f>装備閲覧!M26</f>
        <v>0</v>
      </c>
      <c r="I26">
        <f>装備閲覧!N26</f>
        <v>2</v>
      </c>
      <c r="J26">
        <f>装備閲覧!O26</f>
        <v>0</v>
      </c>
      <c r="K26">
        <f>装備閲覧!P26</f>
        <v>5</v>
      </c>
      <c r="L26">
        <f>装備閲覧!R26</f>
        <v>1</v>
      </c>
      <c r="M26">
        <f>装備閲覧!S26</f>
        <v>1</v>
      </c>
      <c r="N26" t="str">
        <f>装備閲覧!T26</f>
        <v>無</v>
      </c>
      <c r="O26">
        <f>装備閲覧!AA26</f>
        <v>7</v>
      </c>
      <c r="P26" s="1" t="str">
        <f>IFERROR(IFERROR(VLOOKUP(C26,改修!A:B,2,0),_xlfn.NUMBERVALUE(VLOOKUP(C26,特殊改修値!C:D,2,0))),"×")</f>
        <v>〇</v>
      </c>
      <c r="Q26" t="str">
        <f>IFERROR(VLOOKUP(C26,装備ボーナス!B:C,2,0),"×")</f>
        <v>×</v>
      </c>
      <c r="R26" t="str">
        <f>VLOOKUP(A26,wikiName!A:B,2,0)</f>
        <v>零式水上偵察機</v>
      </c>
    </row>
    <row r="27" spans="1:18" x14ac:dyDescent="0.4">
      <c r="A27">
        <f>装備閲覧!B27</f>
        <v>26</v>
      </c>
      <c r="B27" t="str">
        <f>装備閲覧!C27</f>
        <v>水上爆撃機</v>
      </c>
      <c r="C27" t="str">
        <f>装備閲覧!D27</f>
        <v>瑞雲</v>
      </c>
      <c r="D27">
        <f>装備閲覧!H27</f>
        <v>10</v>
      </c>
      <c r="E27">
        <f>装備閲覧!J27</f>
        <v>0</v>
      </c>
      <c r="F27">
        <f>装備閲覧!K27</f>
        <v>0</v>
      </c>
      <c r="G27">
        <f>装備閲覧!L27</f>
        <v>2</v>
      </c>
      <c r="H27">
        <f>装備閲覧!M27</f>
        <v>0</v>
      </c>
      <c r="I27">
        <f>装備閲覧!N27</f>
        <v>4</v>
      </c>
      <c r="J27">
        <f>装備閲覧!O27</f>
        <v>0</v>
      </c>
      <c r="K27">
        <f>装備閲覧!P27</f>
        <v>6</v>
      </c>
      <c r="L27">
        <f>装備閲覧!R27</f>
        <v>1</v>
      </c>
      <c r="M27">
        <f>装備閲覧!S27</f>
        <v>4</v>
      </c>
      <c r="N27" t="str">
        <f>装備閲覧!T27</f>
        <v>無</v>
      </c>
      <c r="O27">
        <f>装備閲覧!AA27</f>
        <v>5</v>
      </c>
      <c r="P27" s="1" t="str">
        <f>IFERROR(IFERROR(VLOOKUP(C27,改修!A:B,2,0),_xlfn.NUMBERVALUE(VLOOKUP(C27,特殊改修値!C:D,2,0))),"×")</f>
        <v>〇</v>
      </c>
      <c r="Q27" t="str">
        <f>IFERROR(VLOOKUP(C27,装備ボーナス!B:C,2,0),"×")</f>
        <v>×</v>
      </c>
      <c r="R27" t="str">
        <f>VLOOKUP(A27,wikiName!A:B,2,0)</f>
        <v>瑞雲</v>
      </c>
    </row>
    <row r="28" spans="1:18" x14ac:dyDescent="0.4">
      <c r="A28">
        <f>装備閲覧!B28</f>
        <v>27</v>
      </c>
      <c r="B28" t="str">
        <f>装備閲覧!C28</f>
        <v>小型電探</v>
      </c>
      <c r="C28" t="str">
        <f>装備閲覧!D28</f>
        <v>13号対空電探</v>
      </c>
      <c r="D28">
        <f>装備閲覧!H28</f>
        <v>11</v>
      </c>
      <c r="E28">
        <f>装備閲覧!J28</f>
        <v>0</v>
      </c>
      <c r="F28">
        <f>装備閲覧!K28</f>
        <v>0</v>
      </c>
      <c r="G28">
        <f>装備閲覧!L28</f>
        <v>2</v>
      </c>
      <c r="H28">
        <f>装備閲覧!M28</f>
        <v>0</v>
      </c>
      <c r="I28">
        <f>装備閲覧!N28</f>
        <v>0</v>
      </c>
      <c r="J28">
        <f>装備閲覧!O28</f>
        <v>0</v>
      </c>
      <c r="K28">
        <f>装備閲覧!P28</f>
        <v>3</v>
      </c>
      <c r="L28">
        <f>装備閲覧!R28</f>
        <v>1</v>
      </c>
      <c r="M28">
        <f>装備閲覧!S28</f>
        <v>0</v>
      </c>
      <c r="N28" t="str">
        <f>装備閲覧!T28</f>
        <v>無</v>
      </c>
      <c r="O28">
        <f>装備閲覧!AA28</f>
        <v>0</v>
      </c>
      <c r="P28" s="1" t="str">
        <f>IFERROR(IFERROR(VLOOKUP(C28,改修!A:B,2,0),_xlfn.NUMBERVALUE(VLOOKUP(C28,特殊改修値!C:D,2,0))),"×")</f>
        <v>〇</v>
      </c>
      <c r="Q28" t="str">
        <f>IFERROR(VLOOKUP(C28,装備ボーナス!B:C,2,0),"×")</f>
        <v>×</v>
      </c>
      <c r="R28" t="str">
        <f>VLOOKUP(A28,wikiName!A:B,2,0)</f>
        <v>13号対空電探</v>
      </c>
    </row>
    <row r="29" spans="1:18" x14ac:dyDescent="0.4">
      <c r="A29">
        <f>装備閲覧!B29</f>
        <v>28</v>
      </c>
      <c r="B29" t="str">
        <f>装備閲覧!C29</f>
        <v>小型電探</v>
      </c>
      <c r="C29" t="str">
        <f>装備閲覧!D29</f>
        <v>22号対水上電探</v>
      </c>
      <c r="D29">
        <f>装備閲覧!H29</f>
        <v>11</v>
      </c>
      <c r="E29">
        <f>装備閲覧!J29</f>
        <v>0</v>
      </c>
      <c r="F29">
        <f>装備閲覧!K29</f>
        <v>0</v>
      </c>
      <c r="G29">
        <f>装備閲覧!L29</f>
        <v>0</v>
      </c>
      <c r="H29">
        <f>装備閲覧!M29</f>
        <v>0</v>
      </c>
      <c r="I29">
        <f>装備閲覧!N29</f>
        <v>0</v>
      </c>
      <c r="J29">
        <f>装備閲覧!O29</f>
        <v>0</v>
      </c>
      <c r="K29">
        <f>装備閲覧!P29</f>
        <v>5</v>
      </c>
      <c r="L29">
        <f>装備閲覧!R29</f>
        <v>3</v>
      </c>
      <c r="M29">
        <f>装備閲覧!S29</f>
        <v>0</v>
      </c>
      <c r="N29" t="str">
        <f>装備閲覧!T29</f>
        <v>無</v>
      </c>
      <c r="O29">
        <f>装備閲覧!AA29</f>
        <v>0</v>
      </c>
      <c r="P29" s="1" t="str">
        <f>IFERROR(IFERROR(VLOOKUP(C29,改修!A:B,2,0),_xlfn.NUMBERVALUE(VLOOKUP(C29,特殊改修値!C:D,2,0))),"×")</f>
        <v>〇</v>
      </c>
      <c r="Q29" t="str">
        <f>IFERROR(VLOOKUP(C29,装備ボーナス!B:C,2,0),"×")</f>
        <v>×</v>
      </c>
      <c r="R29" t="str">
        <f>VLOOKUP(A29,wikiName!A:B,2,0)</f>
        <v>22号対水上電探</v>
      </c>
    </row>
    <row r="30" spans="1:18" x14ac:dyDescent="0.4">
      <c r="A30">
        <f>装備閲覧!B30</f>
        <v>29</v>
      </c>
      <c r="B30" t="str">
        <f>装備閲覧!C30</f>
        <v>小型電探</v>
      </c>
      <c r="C30" t="str">
        <f>装備閲覧!D30</f>
        <v>33号対水上電探</v>
      </c>
      <c r="D30">
        <f>装備閲覧!H30</f>
        <v>11</v>
      </c>
      <c r="E30">
        <f>装備閲覧!J30</f>
        <v>0</v>
      </c>
      <c r="F30">
        <f>装備閲覧!K30</f>
        <v>0</v>
      </c>
      <c r="G30">
        <f>装備閲覧!L30</f>
        <v>0</v>
      </c>
      <c r="H30">
        <f>装備閲覧!M30</f>
        <v>0</v>
      </c>
      <c r="I30">
        <f>装備閲覧!N30</f>
        <v>0</v>
      </c>
      <c r="J30">
        <f>装備閲覧!O30</f>
        <v>0</v>
      </c>
      <c r="K30">
        <f>装備閲覧!P30</f>
        <v>7</v>
      </c>
      <c r="L30">
        <f>装備閲覧!R30</f>
        <v>5</v>
      </c>
      <c r="M30">
        <f>装備閲覧!S30</f>
        <v>0</v>
      </c>
      <c r="N30" t="str">
        <f>装備閲覧!T30</f>
        <v>無</v>
      </c>
      <c r="O30">
        <f>装備閲覧!AA30</f>
        <v>0</v>
      </c>
      <c r="P30" s="1" t="str">
        <f>IFERROR(IFERROR(VLOOKUP(C30,改修!A:B,2,0),_xlfn.NUMBERVALUE(VLOOKUP(C30,特殊改修値!C:D,2,0))),"×")</f>
        <v>〇</v>
      </c>
      <c r="Q30" t="str">
        <f>IFERROR(VLOOKUP(C30,装備ボーナス!B:C,2,0),"×")</f>
        <v>×</v>
      </c>
      <c r="R30" t="str">
        <f>VLOOKUP(A30,wikiName!A:B,2,0)</f>
        <v>33号対水上電探</v>
      </c>
    </row>
    <row r="31" spans="1:18" x14ac:dyDescent="0.4">
      <c r="A31">
        <f>装備閲覧!B31</f>
        <v>30</v>
      </c>
      <c r="B31" t="str">
        <f>装備閲覧!C31</f>
        <v>大型電探</v>
      </c>
      <c r="C31" t="str">
        <f>装備閲覧!D31</f>
        <v>21号対空電探</v>
      </c>
      <c r="D31">
        <f>装備閲覧!H31</f>
        <v>11</v>
      </c>
      <c r="E31">
        <f>装備閲覧!J31</f>
        <v>0</v>
      </c>
      <c r="F31">
        <f>装備閲覧!K31</f>
        <v>0</v>
      </c>
      <c r="G31">
        <f>装備閲覧!L31</f>
        <v>4</v>
      </c>
      <c r="H31">
        <f>装備閲覧!M31</f>
        <v>0</v>
      </c>
      <c r="I31">
        <f>装備閲覧!N31</f>
        <v>0</v>
      </c>
      <c r="J31">
        <f>装備閲覧!O31</f>
        <v>0</v>
      </c>
      <c r="K31">
        <f>装備閲覧!P31</f>
        <v>4</v>
      </c>
      <c r="L31">
        <f>装備閲覧!R31</f>
        <v>2</v>
      </c>
      <c r="M31">
        <f>装備閲覧!S31</f>
        <v>0</v>
      </c>
      <c r="N31" t="str">
        <f>装備閲覧!T31</f>
        <v>無</v>
      </c>
      <c r="O31">
        <f>装備閲覧!AA31</f>
        <v>0</v>
      </c>
      <c r="P31" s="1" t="str">
        <f>IFERROR(IFERROR(VLOOKUP(C31,改修!A:B,2,0),_xlfn.NUMBERVALUE(VLOOKUP(C31,特殊改修値!C:D,2,0))),"×")</f>
        <v>〇</v>
      </c>
      <c r="Q31" t="str">
        <f>IFERROR(VLOOKUP(C31,装備ボーナス!B:C,2,0),"×")</f>
        <v>×</v>
      </c>
      <c r="R31" t="str">
        <f>VLOOKUP(A31,wikiName!A:B,2,0)</f>
        <v>21号対空電探</v>
      </c>
    </row>
    <row r="32" spans="1:18" x14ac:dyDescent="0.4">
      <c r="A32">
        <f>装備閲覧!B32</f>
        <v>31</v>
      </c>
      <c r="B32" t="str">
        <f>装備閲覧!C32</f>
        <v>大型電探</v>
      </c>
      <c r="C32" t="str">
        <f>装備閲覧!D32</f>
        <v>32号対水上電探</v>
      </c>
      <c r="D32">
        <f>装備閲覧!H32</f>
        <v>11</v>
      </c>
      <c r="E32">
        <f>装備閲覧!J32</f>
        <v>0</v>
      </c>
      <c r="F32">
        <f>装備閲覧!K32</f>
        <v>0</v>
      </c>
      <c r="G32">
        <f>装備閲覧!L32</f>
        <v>0</v>
      </c>
      <c r="H32">
        <f>装備閲覧!M32</f>
        <v>0</v>
      </c>
      <c r="I32">
        <f>装備閲覧!N32</f>
        <v>0</v>
      </c>
      <c r="J32">
        <f>装備閲覧!O32</f>
        <v>0</v>
      </c>
      <c r="K32">
        <f>装備閲覧!P32</f>
        <v>10</v>
      </c>
      <c r="L32">
        <f>装備閲覧!R32</f>
        <v>8</v>
      </c>
      <c r="M32">
        <f>装備閲覧!S32</f>
        <v>0</v>
      </c>
      <c r="N32" t="str">
        <f>装備閲覧!T32</f>
        <v>無</v>
      </c>
      <c r="O32">
        <f>装備閲覧!AA32</f>
        <v>0</v>
      </c>
      <c r="P32" s="1" t="str">
        <f>IFERROR(IFERROR(VLOOKUP(C32,改修!A:B,2,0),_xlfn.NUMBERVALUE(VLOOKUP(C32,特殊改修値!C:D,2,0))),"×")</f>
        <v>〇</v>
      </c>
      <c r="Q32" t="str">
        <f>IFERROR(VLOOKUP(C32,装備ボーナス!B:C,2,0),"×")</f>
        <v>×</v>
      </c>
      <c r="R32" t="str">
        <f>VLOOKUP(A32,wikiName!A:B,2,0)</f>
        <v>32号対水上電探</v>
      </c>
    </row>
    <row r="33" spans="1:18" x14ac:dyDescent="0.4">
      <c r="A33">
        <f>装備閲覧!B33</f>
        <v>32</v>
      </c>
      <c r="B33" t="str">
        <f>装備閲覧!C33</f>
        <v>大型電探</v>
      </c>
      <c r="C33" t="str">
        <f>装備閲覧!D33</f>
        <v>42号対空電探</v>
      </c>
      <c r="D33">
        <f>装備閲覧!H33</f>
        <v>11</v>
      </c>
      <c r="E33">
        <f>装備閲覧!J33</f>
        <v>0</v>
      </c>
      <c r="F33">
        <f>装備閲覧!K33</f>
        <v>0</v>
      </c>
      <c r="G33">
        <f>装備閲覧!L33</f>
        <v>6</v>
      </c>
      <c r="H33">
        <f>装備閲覧!M33</f>
        <v>0</v>
      </c>
      <c r="I33">
        <f>装備閲覧!N33</f>
        <v>0</v>
      </c>
      <c r="J33">
        <f>装備閲覧!O33</f>
        <v>0</v>
      </c>
      <c r="K33">
        <f>装備閲覧!P33</f>
        <v>5</v>
      </c>
      <c r="L33">
        <f>装備閲覧!R33</f>
        <v>4</v>
      </c>
      <c r="M33">
        <f>装備閲覧!S33</f>
        <v>0</v>
      </c>
      <c r="N33" t="str">
        <f>装備閲覧!T33</f>
        <v>無</v>
      </c>
      <c r="O33">
        <f>装備閲覧!AA33</f>
        <v>0</v>
      </c>
      <c r="P33" s="1" t="str">
        <f>IFERROR(IFERROR(VLOOKUP(C33,改修!A:B,2,0),_xlfn.NUMBERVALUE(VLOOKUP(C33,特殊改修値!C:D,2,0))),"×")</f>
        <v>〇</v>
      </c>
      <c r="Q33" t="str">
        <f>IFERROR(VLOOKUP(C33,装備ボーナス!B:C,2,0),"×")</f>
        <v>×</v>
      </c>
      <c r="R33" t="str">
        <f>VLOOKUP(A33,wikiName!A:B,2,0)</f>
        <v>42号対空電探</v>
      </c>
    </row>
    <row r="34" spans="1:18" x14ac:dyDescent="0.4">
      <c r="A34">
        <f>装備閲覧!B34</f>
        <v>33</v>
      </c>
      <c r="B34" t="str">
        <f>装備閲覧!C34</f>
        <v>機関部強化</v>
      </c>
      <c r="C34" t="str">
        <f>装備閲覧!D34</f>
        <v>改良型艦本式タービン</v>
      </c>
      <c r="D34">
        <f>装備閲覧!H34</f>
        <v>19</v>
      </c>
      <c r="E34">
        <f>装備閲覧!J34</f>
        <v>0</v>
      </c>
      <c r="F34">
        <f>装備閲覧!K34</f>
        <v>0</v>
      </c>
      <c r="G34">
        <f>装備閲覧!L34</f>
        <v>0</v>
      </c>
      <c r="H34">
        <f>装備閲覧!M34</f>
        <v>0</v>
      </c>
      <c r="I34">
        <f>装備閲覧!N34</f>
        <v>0</v>
      </c>
      <c r="J34">
        <f>装備閲覧!O34</f>
        <v>6</v>
      </c>
      <c r="K34">
        <f>装備閲覧!P34</f>
        <v>0</v>
      </c>
      <c r="L34">
        <f>装備閲覧!R34</f>
        <v>0</v>
      </c>
      <c r="M34">
        <f>装備閲覧!S34</f>
        <v>0</v>
      </c>
      <c r="N34" t="str">
        <f>装備閲覧!T34</f>
        <v>無</v>
      </c>
      <c r="O34">
        <f>装備閲覧!AA34</f>
        <v>0</v>
      </c>
      <c r="P34" s="1" t="str">
        <f>IFERROR(IFERROR(VLOOKUP(C34,改修!A:B,2,0),_xlfn.NUMBERVALUE(VLOOKUP(C34,特殊改修値!C:D,2,0))),"×")</f>
        <v>×</v>
      </c>
      <c r="Q34" t="str">
        <f>IFERROR(VLOOKUP(C34,装備ボーナス!B:C,2,0),"×")</f>
        <v>〇</v>
      </c>
      <c r="R34" t="str">
        <f>VLOOKUP(A34,wikiName!A:B,2,0)</f>
        <v>改良型艦本式タービン</v>
      </c>
    </row>
    <row r="35" spans="1:18" x14ac:dyDescent="0.4">
      <c r="A35">
        <f>装備閲覧!B35</f>
        <v>34</v>
      </c>
      <c r="B35" t="str">
        <f>装備閲覧!C35</f>
        <v>機関部強化</v>
      </c>
      <c r="C35" t="str">
        <f>装備閲覧!D35</f>
        <v>強化型艦本式缶</v>
      </c>
      <c r="D35">
        <f>装備閲覧!H35</f>
        <v>19</v>
      </c>
      <c r="E35">
        <f>装備閲覧!J35</f>
        <v>0</v>
      </c>
      <c r="F35">
        <f>装備閲覧!K35</f>
        <v>0</v>
      </c>
      <c r="G35">
        <f>装備閲覧!L35</f>
        <v>0</v>
      </c>
      <c r="H35">
        <f>装備閲覧!M35</f>
        <v>0</v>
      </c>
      <c r="I35">
        <f>装備閲覧!N35</f>
        <v>0</v>
      </c>
      <c r="J35">
        <f>装備閲覧!O35</f>
        <v>10</v>
      </c>
      <c r="K35">
        <f>装備閲覧!P35</f>
        <v>0</v>
      </c>
      <c r="L35">
        <f>装備閲覧!R35</f>
        <v>0</v>
      </c>
      <c r="M35">
        <f>装備閲覧!S35</f>
        <v>0</v>
      </c>
      <c r="N35" t="str">
        <f>装備閲覧!T35</f>
        <v>無</v>
      </c>
      <c r="O35">
        <f>装備閲覧!AA35</f>
        <v>0</v>
      </c>
      <c r="P35" s="1" t="str">
        <f>IFERROR(IFERROR(VLOOKUP(C35,改修!A:B,2,0),_xlfn.NUMBERVALUE(VLOOKUP(C35,特殊改修値!C:D,2,0))),"×")</f>
        <v>〇</v>
      </c>
      <c r="Q35" t="str">
        <f>IFERROR(VLOOKUP(C35,装備ボーナス!B:C,2,0),"×")</f>
        <v>〇</v>
      </c>
      <c r="R35" t="str">
        <f>VLOOKUP(A35,wikiName!A:B,2,0)</f>
        <v>強化型艦本式缶</v>
      </c>
    </row>
    <row r="36" spans="1:18" x14ac:dyDescent="0.4">
      <c r="A36">
        <f>装備閲覧!B36</f>
        <v>35</v>
      </c>
      <c r="B36" t="str">
        <f>装備閲覧!C36</f>
        <v>対空強化弾</v>
      </c>
      <c r="C36" t="str">
        <f>装備閲覧!D36</f>
        <v>三式弾</v>
      </c>
      <c r="D36">
        <f>装備閲覧!H36</f>
        <v>12</v>
      </c>
      <c r="E36">
        <f>装備閲覧!J36</f>
        <v>0</v>
      </c>
      <c r="F36">
        <f>装備閲覧!K36</f>
        <v>0</v>
      </c>
      <c r="G36">
        <f>装備閲覧!L36</f>
        <v>5</v>
      </c>
      <c r="H36">
        <f>装備閲覧!M36</f>
        <v>0</v>
      </c>
      <c r="I36">
        <f>装備閲覧!N36</f>
        <v>0</v>
      </c>
      <c r="J36">
        <f>装備閲覧!O36</f>
        <v>0</v>
      </c>
      <c r="K36">
        <f>装備閲覧!P36</f>
        <v>0</v>
      </c>
      <c r="L36">
        <f>装備閲覧!R36</f>
        <v>0</v>
      </c>
      <c r="M36">
        <f>装備閲覧!S36</f>
        <v>0</v>
      </c>
      <c r="N36" t="str">
        <f>装備閲覧!T36</f>
        <v>無</v>
      </c>
      <c r="O36">
        <f>装備閲覧!AA36</f>
        <v>0</v>
      </c>
      <c r="P36" s="1" t="str">
        <f>IFERROR(IFERROR(VLOOKUP(C36,改修!A:B,2,0),_xlfn.NUMBERVALUE(VLOOKUP(C36,特殊改修値!C:D,2,0))),"×")</f>
        <v>〇</v>
      </c>
      <c r="Q36" t="str">
        <f>IFERROR(VLOOKUP(C36,装備ボーナス!B:C,2,0),"×")</f>
        <v>〇</v>
      </c>
      <c r="R36" t="str">
        <f>VLOOKUP(A36,wikiName!A:B,2,0)</f>
        <v>三式弾</v>
      </c>
    </row>
    <row r="37" spans="1:18" x14ac:dyDescent="0.4">
      <c r="A37">
        <f>装備閲覧!B37</f>
        <v>36</v>
      </c>
      <c r="B37" t="str">
        <f>装備閲覧!C37</f>
        <v>対艦強化弾</v>
      </c>
      <c r="C37" t="str">
        <f>装備閲覧!D37</f>
        <v>九一式徹甲弾</v>
      </c>
      <c r="D37">
        <f>装備閲覧!H37</f>
        <v>13</v>
      </c>
      <c r="E37">
        <f>装備閲覧!J37</f>
        <v>8</v>
      </c>
      <c r="F37">
        <f>装備閲覧!K37</f>
        <v>0</v>
      </c>
      <c r="G37">
        <f>装備閲覧!L37</f>
        <v>0</v>
      </c>
      <c r="H37">
        <f>装備閲覧!M37</f>
        <v>0</v>
      </c>
      <c r="I37">
        <f>装備閲覧!N37</f>
        <v>0</v>
      </c>
      <c r="J37">
        <f>装備閲覧!O37</f>
        <v>0</v>
      </c>
      <c r="K37">
        <f>装備閲覧!P37</f>
        <v>0</v>
      </c>
      <c r="L37">
        <f>装備閲覧!R37</f>
        <v>1</v>
      </c>
      <c r="M37">
        <f>装備閲覧!S37</f>
        <v>0</v>
      </c>
      <c r="N37" t="str">
        <f>装備閲覧!T37</f>
        <v>無</v>
      </c>
      <c r="O37">
        <f>装備閲覧!AA37</f>
        <v>0</v>
      </c>
      <c r="P37" s="1" t="str">
        <f>IFERROR(IFERROR(VLOOKUP(C37,改修!A:B,2,0),_xlfn.NUMBERVALUE(VLOOKUP(C37,特殊改修値!C:D,2,0))),"×")</f>
        <v>〇</v>
      </c>
      <c r="Q37" t="str">
        <f>IFERROR(VLOOKUP(C37,装備ボーナス!B:C,2,0),"×")</f>
        <v>×</v>
      </c>
      <c r="R37" t="str">
        <f>VLOOKUP(A37,wikiName!A:B,2,0)</f>
        <v>九一式徹甲弾</v>
      </c>
    </row>
    <row r="38" spans="1:18" x14ac:dyDescent="0.4">
      <c r="A38">
        <f>装備閲覧!B38</f>
        <v>37</v>
      </c>
      <c r="B38" t="str">
        <f>装備閲覧!C38</f>
        <v>対空機銃</v>
      </c>
      <c r="C38" t="str">
        <f>装備閲覧!D38</f>
        <v>7.7mm機銃</v>
      </c>
      <c r="D38">
        <f>装備閲覧!H38</f>
        <v>15</v>
      </c>
      <c r="E38">
        <f>装備閲覧!J38</f>
        <v>0</v>
      </c>
      <c r="F38">
        <f>装備閲覧!K38</f>
        <v>0</v>
      </c>
      <c r="G38">
        <f>装備閲覧!L38</f>
        <v>2</v>
      </c>
      <c r="H38">
        <f>装備閲覧!M38</f>
        <v>0</v>
      </c>
      <c r="I38">
        <f>装備閲覧!N38</f>
        <v>0</v>
      </c>
      <c r="J38">
        <f>装備閲覧!O38</f>
        <v>1</v>
      </c>
      <c r="K38">
        <f>装備閲覧!P38</f>
        <v>0</v>
      </c>
      <c r="L38">
        <f>装備閲覧!R38</f>
        <v>0</v>
      </c>
      <c r="M38">
        <f>装備閲覧!S38</f>
        <v>0</v>
      </c>
      <c r="N38" t="str">
        <f>装備閲覧!T38</f>
        <v>無</v>
      </c>
      <c r="O38">
        <f>装備閲覧!AA38</f>
        <v>0</v>
      </c>
      <c r="P38" s="1" t="str">
        <f>IFERROR(IFERROR(VLOOKUP(C38,改修!A:B,2,0),_xlfn.NUMBERVALUE(VLOOKUP(C38,特殊改修値!C:D,2,0))),"×")</f>
        <v>×</v>
      </c>
      <c r="Q38" t="str">
        <f>IFERROR(VLOOKUP(C38,装備ボーナス!B:C,2,0),"×")</f>
        <v>×</v>
      </c>
      <c r="R38" t="str">
        <f>VLOOKUP(A38,wikiName!A:B,2,0)</f>
        <v>7.7mm機銃</v>
      </c>
    </row>
    <row r="39" spans="1:18" x14ac:dyDescent="0.4">
      <c r="A39">
        <f>装備閲覧!B39</f>
        <v>38</v>
      </c>
      <c r="B39" t="str">
        <f>装備閲覧!C39</f>
        <v>対空機銃</v>
      </c>
      <c r="C39" t="str">
        <f>装備閲覧!D39</f>
        <v>12.7mm単装機銃</v>
      </c>
      <c r="D39">
        <f>装備閲覧!H39</f>
        <v>15</v>
      </c>
      <c r="E39">
        <f>装備閲覧!J39</f>
        <v>0</v>
      </c>
      <c r="F39">
        <f>装備閲覧!K39</f>
        <v>0</v>
      </c>
      <c r="G39">
        <f>装備閲覧!L39</f>
        <v>3</v>
      </c>
      <c r="H39">
        <f>装備閲覧!M39</f>
        <v>0</v>
      </c>
      <c r="I39">
        <f>装備閲覧!N39</f>
        <v>0</v>
      </c>
      <c r="J39">
        <f>装備閲覧!O39</f>
        <v>1</v>
      </c>
      <c r="K39">
        <f>装備閲覧!P39</f>
        <v>0</v>
      </c>
      <c r="L39">
        <f>装備閲覧!R39</f>
        <v>0</v>
      </c>
      <c r="M39">
        <f>装備閲覧!S39</f>
        <v>0</v>
      </c>
      <c r="N39" t="str">
        <f>装備閲覧!T39</f>
        <v>無</v>
      </c>
      <c r="O39">
        <f>装備閲覧!AA39</f>
        <v>0</v>
      </c>
      <c r="P39" s="1" t="str">
        <f>IFERROR(IFERROR(VLOOKUP(C39,改修!A:B,2,0),_xlfn.NUMBERVALUE(VLOOKUP(C39,特殊改修値!C:D,2,0))),"×")</f>
        <v>×</v>
      </c>
      <c r="Q39" t="str">
        <f>IFERROR(VLOOKUP(C39,装備ボーナス!B:C,2,0),"×")</f>
        <v>×</v>
      </c>
      <c r="R39" t="str">
        <f>VLOOKUP(A39,wikiName!A:B,2,0)</f>
        <v>12.7mm単装機銃</v>
      </c>
    </row>
    <row r="40" spans="1:18" x14ac:dyDescent="0.4">
      <c r="A40">
        <f>装備閲覧!B40</f>
        <v>39</v>
      </c>
      <c r="B40" t="str">
        <f>装備閲覧!C40</f>
        <v>対空機銃</v>
      </c>
      <c r="C40" t="str">
        <f>装備閲覧!D40</f>
        <v>25mm連装機銃</v>
      </c>
      <c r="D40">
        <f>装備閲覧!H40</f>
        <v>15</v>
      </c>
      <c r="E40">
        <f>装備閲覧!J40</f>
        <v>0</v>
      </c>
      <c r="F40">
        <f>装備閲覧!K40</f>
        <v>0</v>
      </c>
      <c r="G40">
        <f>装備閲覧!L40</f>
        <v>5</v>
      </c>
      <c r="H40">
        <f>装備閲覧!M40</f>
        <v>0</v>
      </c>
      <c r="I40">
        <f>装備閲覧!N40</f>
        <v>0</v>
      </c>
      <c r="J40">
        <f>装備閲覧!O40</f>
        <v>1</v>
      </c>
      <c r="K40">
        <f>装備閲覧!P40</f>
        <v>0</v>
      </c>
      <c r="L40">
        <f>装備閲覧!R40</f>
        <v>0</v>
      </c>
      <c r="M40">
        <f>装備閲覧!S40</f>
        <v>0</v>
      </c>
      <c r="N40" t="str">
        <f>装備閲覧!T40</f>
        <v>無</v>
      </c>
      <c r="O40">
        <f>装備閲覧!AA40</f>
        <v>0</v>
      </c>
      <c r="P40" s="1" t="str">
        <f>IFERROR(IFERROR(VLOOKUP(C40,改修!A:B,2,0),_xlfn.NUMBERVALUE(VLOOKUP(C40,特殊改修値!C:D,2,0))),"×")</f>
        <v>〇</v>
      </c>
      <c r="Q40" t="str">
        <f>IFERROR(VLOOKUP(C40,装備ボーナス!B:C,2,0),"×")</f>
        <v>×</v>
      </c>
      <c r="R40" t="str">
        <f>VLOOKUP(A40,wikiName!A:B,2,0)</f>
        <v>25mm連装機銃</v>
      </c>
    </row>
    <row r="41" spans="1:18" x14ac:dyDescent="0.4">
      <c r="A41">
        <f>装備閲覧!B41</f>
        <v>40</v>
      </c>
      <c r="B41" t="str">
        <f>装備閲覧!C41</f>
        <v>対空機銃</v>
      </c>
      <c r="C41" t="str">
        <f>装備閲覧!D41</f>
        <v>25mm三連装機銃</v>
      </c>
      <c r="D41">
        <f>装備閲覧!H41</f>
        <v>15</v>
      </c>
      <c r="E41">
        <f>装備閲覧!J41</f>
        <v>0</v>
      </c>
      <c r="F41">
        <f>装備閲覧!K41</f>
        <v>0</v>
      </c>
      <c r="G41">
        <f>装備閲覧!L41</f>
        <v>6</v>
      </c>
      <c r="H41">
        <f>装備閲覧!M41</f>
        <v>0</v>
      </c>
      <c r="I41">
        <f>装備閲覧!N41</f>
        <v>0</v>
      </c>
      <c r="J41">
        <f>装備閲覧!O41</f>
        <v>1</v>
      </c>
      <c r="K41">
        <f>装備閲覧!P41</f>
        <v>0</v>
      </c>
      <c r="L41">
        <f>装備閲覧!R41</f>
        <v>0</v>
      </c>
      <c r="M41">
        <f>装備閲覧!S41</f>
        <v>0</v>
      </c>
      <c r="N41" t="str">
        <f>装備閲覧!T41</f>
        <v>無</v>
      </c>
      <c r="O41">
        <f>装備閲覧!AA41</f>
        <v>0</v>
      </c>
      <c r="P41" s="1" t="str">
        <f>IFERROR(IFERROR(VLOOKUP(C41,改修!A:B,2,0),_xlfn.NUMBERVALUE(VLOOKUP(C41,特殊改修値!C:D,2,0))),"×")</f>
        <v>〇</v>
      </c>
      <c r="Q41" t="str">
        <f>IFERROR(VLOOKUP(C41,装備ボーナス!B:C,2,0),"×")</f>
        <v>×</v>
      </c>
      <c r="R41" t="str">
        <f>VLOOKUP(A41,wikiName!A:B,2,0)</f>
        <v>25mm三連装機銃</v>
      </c>
    </row>
    <row r="42" spans="1:18" x14ac:dyDescent="0.4">
      <c r="A42">
        <f>装備閲覧!B42</f>
        <v>41</v>
      </c>
      <c r="B42" t="str">
        <f>装備閲覧!C42</f>
        <v>特殊潜航艇</v>
      </c>
      <c r="C42" t="str">
        <f>装備閲覧!D42</f>
        <v>甲標的 甲型</v>
      </c>
      <c r="D42">
        <f>装備閲覧!H42</f>
        <v>5</v>
      </c>
      <c r="E42">
        <f>装備閲覧!J42</f>
        <v>0</v>
      </c>
      <c r="F42">
        <f>装備閲覧!K42</f>
        <v>12</v>
      </c>
      <c r="G42">
        <f>装備閲覧!L42</f>
        <v>0</v>
      </c>
      <c r="H42">
        <f>装備閲覧!M42</f>
        <v>0</v>
      </c>
      <c r="I42">
        <f>装備閲覧!N42</f>
        <v>0</v>
      </c>
      <c r="J42">
        <f>装備閲覧!O42</f>
        <v>0</v>
      </c>
      <c r="K42">
        <f>装備閲覧!P42</f>
        <v>0</v>
      </c>
      <c r="L42">
        <f>装備閲覧!R42</f>
        <v>0</v>
      </c>
      <c r="M42">
        <f>装備閲覧!S42</f>
        <v>0</v>
      </c>
      <c r="N42" t="str">
        <f>装備閲覧!T42</f>
        <v>無</v>
      </c>
      <c r="O42">
        <f>装備閲覧!AA42</f>
        <v>0</v>
      </c>
      <c r="P42" s="1" t="str">
        <f>IFERROR(IFERROR(VLOOKUP(C42,改修!A:B,2,0),_xlfn.NUMBERVALUE(VLOOKUP(C42,特殊改修値!C:D,2,0))),"×")</f>
        <v>×</v>
      </c>
      <c r="Q42" t="str">
        <f>IFERROR(VLOOKUP(C42,装備ボーナス!B:C,2,0),"×")</f>
        <v>×</v>
      </c>
      <c r="R42" t="str">
        <f>VLOOKUP(A42,wikiName!A:B,2,0)</f>
        <v>甲標的 甲型</v>
      </c>
    </row>
    <row r="43" spans="1:18" x14ac:dyDescent="0.4">
      <c r="A43">
        <f>装備閲覧!B43</f>
        <v>42</v>
      </c>
      <c r="B43" t="str">
        <f>装備閲覧!C43</f>
        <v>応急修理要員</v>
      </c>
      <c r="C43" t="str">
        <f>装備閲覧!D43</f>
        <v>応急修理要員</v>
      </c>
      <c r="D43">
        <f>装備閲覧!H43</f>
        <v>14</v>
      </c>
      <c r="E43">
        <f>装備閲覧!J43</f>
        <v>0</v>
      </c>
      <c r="F43">
        <f>装備閲覧!K43</f>
        <v>0</v>
      </c>
      <c r="G43">
        <f>装備閲覧!L43</f>
        <v>0</v>
      </c>
      <c r="H43">
        <f>装備閲覧!M43</f>
        <v>0</v>
      </c>
      <c r="I43">
        <f>装備閲覧!N43</f>
        <v>0</v>
      </c>
      <c r="J43">
        <f>装備閲覧!O43</f>
        <v>0</v>
      </c>
      <c r="K43">
        <f>装備閲覧!P43</f>
        <v>0</v>
      </c>
      <c r="L43">
        <f>装備閲覧!R43</f>
        <v>0</v>
      </c>
      <c r="M43">
        <f>装備閲覧!S43</f>
        <v>0</v>
      </c>
      <c r="N43" t="str">
        <f>装備閲覧!T43</f>
        <v>無</v>
      </c>
      <c r="O43">
        <f>装備閲覧!AA43</f>
        <v>0</v>
      </c>
      <c r="P43" s="1" t="str">
        <f>IFERROR(IFERROR(VLOOKUP(C43,改修!A:B,2,0),_xlfn.NUMBERVALUE(VLOOKUP(C43,特殊改修値!C:D,2,0))),"×")</f>
        <v>×</v>
      </c>
      <c r="Q43" t="str">
        <f>IFERROR(VLOOKUP(C43,装備ボーナス!B:C,2,0),"×")</f>
        <v>×</v>
      </c>
      <c r="R43" t="str">
        <f>VLOOKUP(A43,wikiName!A:B,2,0)</f>
        <v>応急修理要員</v>
      </c>
    </row>
    <row r="44" spans="1:18" x14ac:dyDescent="0.4">
      <c r="A44">
        <f>装備閲覧!B44</f>
        <v>43</v>
      </c>
      <c r="B44" t="str">
        <f>装備閲覧!C44</f>
        <v>応急修理要員</v>
      </c>
      <c r="C44" t="str">
        <f>装備閲覧!D44</f>
        <v>応急修理女神</v>
      </c>
      <c r="D44">
        <f>装備閲覧!H44</f>
        <v>14</v>
      </c>
      <c r="E44">
        <f>装備閲覧!J44</f>
        <v>0</v>
      </c>
      <c r="F44">
        <f>装備閲覧!K44</f>
        <v>0</v>
      </c>
      <c r="G44">
        <f>装備閲覧!L44</f>
        <v>0</v>
      </c>
      <c r="H44">
        <f>装備閲覧!M44</f>
        <v>0</v>
      </c>
      <c r="I44">
        <f>装備閲覧!N44</f>
        <v>0</v>
      </c>
      <c r="J44">
        <f>装備閲覧!O44</f>
        <v>0</v>
      </c>
      <c r="K44">
        <f>装備閲覧!P44</f>
        <v>0</v>
      </c>
      <c r="L44">
        <f>装備閲覧!R44</f>
        <v>0</v>
      </c>
      <c r="M44">
        <f>装備閲覧!S44</f>
        <v>0</v>
      </c>
      <c r="N44" t="str">
        <f>装備閲覧!T44</f>
        <v>無</v>
      </c>
      <c r="O44">
        <f>装備閲覧!AA44</f>
        <v>0</v>
      </c>
      <c r="P44" s="1" t="str">
        <f>IFERROR(IFERROR(VLOOKUP(C44,改修!A:B,2,0),_xlfn.NUMBERVALUE(VLOOKUP(C44,特殊改修値!C:D,2,0))),"×")</f>
        <v>×</v>
      </c>
      <c r="Q44" t="str">
        <f>IFERROR(VLOOKUP(C44,装備ボーナス!B:C,2,0),"×")</f>
        <v>×</v>
      </c>
      <c r="R44" t="str">
        <f>VLOOKUP(A44,wikiName!A:B,2,0)</f>
        <v>応急修理女神</v>
      </c>
    </row>
    <row r="45" spans="1:18" x14ac:dyDescent="0.4">
      <c r="A45">
        <f>装備閲覧!B45</f>
        <v>44</v>
      </c>
      <c r="B45" t="str">
        <f>装備閲覧!C45</f>
        <v>爆雷</v>
      </c>
      <c r="C45" t="str">
        <f>装備閲覧!D45</f>
        <v>九四式爆雷投射機</v>
      </c>
      <c r="D45">
        <f>装備閲覧!H45</f>
        <v>17</v>
      </c>
      <c r="E45">
        <f>装備閲覧!J45</f>
        <v>0</v>
      </c>
      <c r="F45">
        <f>装備閲覧!K45</f>
        <v>0</v>
      </c>
      <c r="G45">
        <f>装備閲覧!L45</f>
        <v>0</v>
      </c>
      <c r="H45">
        <f>装備閲覧!M45</f>
        <v>0</v>
      </c>
      <c r="I45">
        <f>装備閲覧!N45</f>
        <v>5</v>
      </c>
      <c r="J45">
        <f>装備閲覧!O45</f>
        <v>0</v>
      </c>
      <c r="K45">
        <f>装備閲覧!P45</f>
        <v>0</v>
      </c>
      <c r="L45">
        <f>装備閲覧!R45</f>
        <v>0</v>
      </c>
      <c r="M45">
        <f>装備閲覧!S45</f>
        <v>0</v>
      </c>
      <c r="N45" t="str">
        <f>装備閲覧!T45</f>
        <v>無</v>
      </c>
      <c r="O45">
        <f>装備閲覧!AA45</f>
        <v>0</v>
      </c>
      <c r="P45" s="1" t="str">
        <f>IFERROR(IFERROR(VLOOKUP(C45,改修!A:B,2,0),_xlfn.NUMBERVALUE(VLOOKUP(C45,特殊改修値!C:D,2,0))),"×")</f>
        <v>〇</v>
      </c>
      <c r="Q45" t="str">
        <f>IFERROR(VLOOKUP(C45,装備ボーナス!B:C,2,0),"×")</f>
        <v>×</v>
      </c>
      <c r="R45" t="str">
        <f>VLOOKUP(A45,wikiName!A:B,2,0)</f>
        <v>九四式爆雷投射機</v>
      </c>
    </row>
    <row r="46" spans="1:18" x14ac:dyDescent="0.4">
      <c r="A46">
        <f>装備閲覧!B46</f>
        <v>45</v>
      </c>
      <c r="B46" t="str">
        <f>装備閲覧!C46</f>
        <v>爆雷</v>
      </c>
      <c r="C46" t="str">
        <f>装備閲覧!D46</f>
        <v>三式爆雷投射機</v>
      </c>
      <c r="D46">
        <f>装備閲覧!H46</f>
        <v>17</v>
      </c>
      <c r="E46">
        <f>装備閲覧!J46</f>
        <v>0</v>
      </c>
      <c r="F46">
        <f>装備閲覧!K46</f>
        <v>0</v>
      </c>
      <c r="G46">
        <f>装備閲覧!L46</f>
        <v>0</v>
      </c>
      <c r="H46">
        <f>装備閲覧!M46</f>
        <v>0</v>
      </c>
      <c r="I46">
        <f>装備閲覧!N46</f>
        <v>8</v>
      </c>
      <c r="J46">
        <f>装備閲覧!O46</f>
        <v>0</v>
      </c>
      <c r="K46">
        <f>装備閲覧!P46</f>
        <v>0</v>
      </c>
      <c r="L46">
        <f>装備閲覧!R46</f>
        <v>0</v>
      </c>
      <c r="M46">
        <f>装備閲覧!S46</f>
        <v>0</v>
      </c>
      <c r="N46" t="str">
        <f>装備閲覧!T46</f>
        <v>無</v>
      </c>
      <c r="O46">
        <f>装備閲覧!AA46</f>
        <v>0</v>
      </c>
      <c r="P46" s="1" t="str">
        <f>IFERROR(IFERROR(VLOOKUP(C46,改修!A:B,2,0),_xlfn.NUMBERVALUE(VLOOKUP(C46,特殊改修値!C:D,2,0))),"×")</f>
        <v>〇</v>
      </c>
      <c r="Q46" t="str">
        <f>IFERROR(VLOOKUP(C46,装備ボーナス!B:C,2,0),"×")</f>
        <v>×</v>
      </c>
      <c r="R46" t="str">
        <f>VLOOKUP(A46,wikiName!A:B,2,0)</f>
        <v>三式爆雷投射機</v>
      </c>
    </row>
    <row r="47" spans="1:18" x14ac:dyDescent="0.4">
      <c r="A47">
        <f>装備閲覧!B47</f>
        <v>46</v>
      </c>
      <c r="B47" t="str">
        <f>装備閲覧!C47</f>
        <v>ソナー</v>
      </c>
      <c r="C47" t="str">
        <f>装備閲覧!D47</f>
        <v>九三式水中聴音機</v>
      </c>
      <c r="D47">
        <f>装備閲覧!H47</f>
        <v>18</v>
      </c>
      <c r="E47">
        <f>装備閲覧!J47</f>
        <v>0</v>
      </c>
      <c r="F47">
        <f>装備閲覧!K47</f>
        <v>0</v>
      </c>
      <c r="G47">
        <f>装備閲覧!L47</f>
        <v>0</v>
      </c>
      <c r="H47">
        <f>装備閲覧!M47</f>
        <v>0</v>
      </c>
      <c r="I47">
        <f>装備閲覧!N47</f>
        <v>6</v>
      </c>
      <c r="J47">
        <f>装備閲覧!O47</f>
        <v>0</v>
      </c>
      <c r="K47">
        <f>装備閲覧!P47</f>
        <v>0</v>
      </c>
      <c r="L47">
        <f>装備閲覧!R47</f>
        <v>1</v>
      </c>
      <c r="M47">
        <f>装備閲覧!S47</f>
        <v>0</v>
      </c>
      <c r="N47" t="str">
        <f>装備閲覧!T47</f>
        <v>無</v>
      </c>
      <c r="O47">
        <f>装備閲覧!AA47</f>
        <v>0</v>
      </c>
      <c r="P47" s="1" t="str">
        <f>IFERROR(IFERROR(VLOOKUP(C47,改修!A:B,2,0),_xlfn.NUMBERVALUE(VLOOKUP(C47,特殊改修値!C:D,2,0))),"×")</f>
        <v>〇</v>
      </c>
      <c r="Q47" t="str">
        <f>IFERROR(VLOOKUP(C47,装備ボーナス!B:C,2,0),"×")</f>
        <v>×</v>
      </c>
      <c r="R47" t="str">
        <f>VLOOKUP(A47,wikiName!A:B,2,0)</f>
        <v>九三式水中聴音機</v>
      </c>
    </row>
    <row r="48" spans="1:18" x14ac:dyDescent="0.4">
      <c r="A48">
        <f>装備閲覧!B48</f>
        <v>47</v>
      </c>
      <c r="B48" t="str">
        <f>装備閲覧!C48</f>
        <v>ソナー</v>
      </c>
      <c r="C48" t="str">
        <f>装備閲覧!D48</f>
        <v>三式水中探信儀</v>
      </c>
      <c r="D48">
        <f>装備閲覧!H48</f>
        <v>18</v>
      </c>
      <c r="E48">
        <f>装備閲覧!J48</f>
        <v>0</v>
      </c>
      <c r="F48">
        <f>装備閲覧!K48</f>
        <v>0</v>
      </c>
      <c r="G48">
        <f>装備閲覧!L48</f>
        <v>0</v>
      </c>
      <c r="H48">
        <f>装備閲覧!M48</f>
        <v>0</v>
      </c>
      <c r="I48">
        <f>装備閲覧!N48</f>
        <v>10</v>
      </c>
      <c r="J48">
        <f>装備閲覧!O48</f>
        <v>0</v>
      </c>
      <c r="K48">
        <f>装備閲覧!P48</f>
        <v>0</v>
      </c>
      <c r="L48">
        <f>装備閲覧!R48</f>
        <v>2</v>
      </c>
      <c r="M48">
        <f>装備閲覧!S48</f>
        <v>0</v>
      </c>
      <c r="N48" t="str">
        <f>装備閲覧!T48</f>
        <v>無</v>
      </c>
      <c r="O48">
        <f>装備閲覧!AA48</f>
        <v>0</v>
      </c>
      <c r="P48" s="1" t="str">
        <f>IFERROR(IFERROR(VLOOKUP(C48,改修!A:B,2,0),_xlfn.NUMBERVALUE(VLOOKUP(C48,特殊改修値!C:D,2,0))),"×")</f>
        <v>〇</v>
      </c>
      <c r="Q48" t="str">
        <f>IFERROR(VLOOKUP(C48,装備ボーナス!B:C,2,0),"×")</f>
        <v>〇</v>
      </c>
      <c r="R48" t="str">
        <f>VLOOKUP(A48,wikiName!A:B,2,0)</f>
        <v>三式水中探信儀</v>
      </c>
    </row>
    <row r="49" spans="1:18" x14ac:dyDescent="0.4">
      <c r="A49">
        <f>装備閲覧!B49</f>
        <v>48</v>
      </c>
      <c r="B49" t="str">
        <f>装備閲覧!C49</f>
        <v>小口径主砲</v>
      </c>
      <c r="C49" t="str">
        <f>装備閲覧!D49</f>
        <v>12cm単装高角砲</v>
      </c>
      <c r="D49">
        <f>装備閲覧!H49</f>
        <v>16</v>
      </c>
      <c r="E49">
        <f>装備閲覧!J49</f>
        <v>1</v>
      </c>
      <c r="F49">
        <f>装備閲覧!K49</f>
        <v>0</v>
      </c>
      <c r="G49">
        <f>装備閲覧!L49</f>
        <v>3</v>
      </c>
      <c r="H49">
        <f>装備閲覧!M49</f>
        <v>0</v>
      </c>
      <c r="I49">
        <f>装備閲覧!N49</f>
        <v>0</v>
      </c>
      <c r="J49">
        <f>装備閲覧!O49</f>
        <v>0</v>
      </c>
      <c r="K49">
        <f>装備閲覧!P49</f>
        <v>0</v>
      </c>
      <c r="L49">
        <f>装備閲覧!R49</f>
        <v>0</v>
      </c>
      <c r="M49">
        <f>装備閲覧!S49</f>
        <v>0</v>
      </c>
      <c r="N49" t="str">
        <f>装備閲覧!T49</f>
        <v>短</v>
      </c>
      <c r="O49">
        <f>装備閲覧!AA49</f>
        <v>0</v>
      </c>
      <c r="P49" s="1" t="str">
        <f>IFERROR(IFERROR(VLOOKUP(C49,改修!A:B,2,0),_xlfn.NUMBERVALUE(VLOOKUP(C49,特殊改修値!C:D,2,0))),"×")</f>
        <v>×</v>
      </c>
      <c r="Q49" t="str">
        <f>IFERROR(VLOOKUP(C49,装備ボーナス!B:C,2,0),"×")</f>
        <v>×</v>
      </c>
      <c r="R49" t="str">
        <f>VLOOKUP(A49,wikiName!A:B,2,0)</f>
        <v>12cm単装高角砲</v>
      </c>
    </row>
    <row r="50" spans="1:18" x14ac:dyDescent="0.4">
      <c r="A50">
        <f>装備閲覧!B50</f>
        <v>49</v>
      </c>
      <c r="B50" t="str">
        <f>装備閲覧!C50</f>
        <v>対空機銃</v>
      </c>
      <c r="C50" t="str">
        <f>装備閲覧!D50</f>
        <v>25mm単装機銃</v>
      </c>
      <c r="D50">
        <f>装備閲覧!H50</f>
        <v>15</v>
      </c>
      <c r="E50">
        <f>装備閲覧!J50</f>
        <v>0</v>
      </c>
      <c r="F50">
        <f>装備閲覧!K50</f>
        <v>0</v>
      </c>
      <c r="G50">
        <f>装備閲覧!L50</f>
        <v>4</v>
      </c>
      <c r="H50">
        <f>装備閲覧!M50</f>
        <v>0</v>
      </c>
      <c r="I50">
        <f>装備閲覧!N50</f>
        <v>0</v>
      </c>
      <c r="J50">
        <f>装備閲覧!O50</f>
        <v>1</v>
      </c>
      <c r="K50">
        <f>装備閲覧!P50</f>
        <v>0</v>
      </c>
      <c r="L50">
        <f>装備閲覧!R50</f>
        <v>0</v>
      </c>
      <c r="M50">
        <f>装備閲覧!S50</f>
        <v>0</v>
      </c>
      <c r="N50" t="str">
        <f>装備閲覧!T50</f>
        <v>無</v>
      </c>
      <c r="O50">
        <f>装備閲覧!AA50</f>
        <v>0</v>
      </c>
      <c r="P50" s="1" t="str">
        <f>IFERROR(IFERROR(VLOOKUP(C50,改修!A:B,2,0),_xlfn.NUMBERVALUE(VLOOKUP(C50,特殊改修値!C:D,2,0))),"×")</f>
        <v>〇</v>
      </c>
      <c r="Q50" t="str">
        <f>IFERROR(VLOOKUP(C50,装備ボーナス!B:C,2,0),"×")</f>
        <v>×</v>
      </c>
      <c r="R50" t="str">
        <f>VLOOKUP(A50,wikiName!A:B,2,0)</f>
        <v>25mm単装機銃</v>
      </c>
    </row>
    <row r="51" spans="1:18" x14ac:dyDescent="0.4">
      <c r="A51">
        <f>装備閲覧!B51</f>
        <v>50</v>
      </c>
      <c r="B51" t="str">
        <f>装備閲覧!C51</f>
        <v>中口径主砲</v>
      </c>
      <c r="C51" t="str">
        <f>装備閲覧!D51</f>
        <v>20.3cm(3号)連装砲</v>
      </c>
      <c r="D51">
        <f>装備閲覧!H51</f>
        <v>2</v>
      </c>
      <c r="E51">
        <f>装備閲覧!J51</f>
        <v>10</v>
      </c>
      <c r="F51">
        <f>装備閲覧!K51</f>
        <v>0</v>
      </c>
      <c r="G51">
        <f>装備閲覧!L51</f>
        <v>4</v>
      </c>
      <c r="H51">
        <f>装備閲覧!M51</f>
        <v>0</v>
      </c>
      <c r="I51">
        <f>装備閲覧!N51</f>
        <v>0</v>
      </c>
      <c r="J51">
        <f>装備閲覧!O51</f>
        <v>0</v>
      </c>
      <c r="K51">
        <f>装備閲覧!P51</f>
        <v>0</v>
      </c>
      <c r="L51">
        <f>装備閲覧!R51</f>
        <v>1</v>
      </c>
      <c r="M51">
        <f>装備閲覧!S51</f>
        <v>0</v>
      </c>
      <c r="N51" t="str">
        <f>装備閲覧!T51</f>
        <v>中</v>
      </c>
      <c r="O51">
        <f>装備閲覧!AA51</f>
        <v>0</v>
      </c>
      <c r="P51" s="1" t="str">
        <f>IFERROR(IFERROR(VLOOKUP(C51,改修!A:B,2,0),_xlfn.NUMBERVALUE(VLOOKUP(C51,特殊改修値!C:D,2,0))),"×")</f>
        <v>〇</v>
      </c>
      <c r="Q51" t="str">
        <f>IFERROR(VLOOKUP(C51,装備ボーナス!B:C,2,0),"×")</f>
        <v>〇</v>
      </c>
      <c r="R51" t="str">
        <f>VLOOKUP(A51,wikiName!A:B,2,0)</f>
        <v>20.3cm(3号)連装砲</v>
      </c>
    </row>
    <row r="52" spans="1:18" x14ac:dyDescent="0.4">
      <c r="A52">
        <f>装備閲覧!B52</f>
        <v>51</v>
      </c>
      <c r="B52" t="str">
        <f>装備閲覧!C52</f>
        <v>対空機銃</v>
      </c>
      <c r="C52" t="str">
        <f>装備閲覧!D52</f>
        <v>12cm30連装噴進砲</v>
      </c>
      <c r="D52">
        <f>装備閲覧!H52</f>
        <v>15</v>
      </c>
      <c r="E52">
        <f>装備閲覧!J52</f>
        <v>0</v>
      </c>
      <c r="F52">
        <f>装備閲覧!K52</f>
        <v>0</v>
      </c>
      <c r="G52">
        <f>装備閲覧!L52</f>
        <v>8</v>
      </c>
      <c r="H52">
        <f>装備閲覧!M52</f>
        <v>0</v>
      </c>
      <c r="I52">
        <f>装備閲覧!N52</f>
        <v>0</v>
      </c>
      <c r="J52">
        <f>装備閲覧!O52</f>
        <v>0</v>
      </c>
      <c r="K52">
        <f>装備閲覧!P52</f>
        <v>0</v>
      </c>
      <c r="L52">
        <f>装備閲覧!R52</f>
        <v>0</v>
      </c>
      <c r="M52">
        <f>装備閲覧!S52</f>
        <v>0</v>
      </c>
      <c r="N52" t="str">
        <f>装備閲覧!T52</f>
        <v>無</v>
      </c>
      <c r="O52">
        <f>装備閲覧!AA52</f>
        <v>0</v>
      </c>
      <c r="P52" s="1" t="str">
        <f>IFERROR(IFERROR(VLOOKUP(C52,改修!A:B,2,0),_xlfn.NUMBERVALUE(VLOOKUP(C52,特殊改修値!C:D,2,0))),"×")</f>
        <v>〇</v>
      </c>
      <c r="Q52" t="str">
        <f>IFERROR(VLOOKUP(C52,装備ボーナス!B:C,2,0),"×")</f>
        <v>×</v>
      </c>
      <c r="R52" t="str">
        <f>VLOOKUP(A52,wikiName!A:B,2,0)</f>
        <v>12cm30連装噴進砲</v>
      </c>
    </row>
    <row r="53" spans="1:18" x14ac:dyDescent="0.4">
      <c r="A53">
        <f>装備閲覧!B53</f>
        <v>52</v>
      </c>
      <c r="B53" t="str">
        <f>装備閲覧!C53</f>
        <v>艦上攻撃機</v>
      </c>
      <c r="C53" t="str">
        <f>装備閲覧!D53</f>
        <v>流星改</v>
      </c>
      <c r="D53">
        <f>装備閲覧!H53</f>
        <v>8</v>
      </c>
      <c r="E53">
        <f>装備閲覧!J53</f>
        <v>0</v>
      </c>
      <c r="F53">
        <f>装備閲覧!K53</f>
        <v>13</v>
      </c>
      <c r="G53">
        <f>装備閲覧!L53</f>
        <v>1</v>
      </c>
      <c r="H53">
        <f>装備閲覧!M53</f>
        <v>0</v>
      </c>
      <c r="I53">
        <f>装備閲覧!N53</f>
        <v>3</v>
      </c>
      <c r="J53">
        <f>装備閲覧!O53</f>
        <v>0</v>
      </c>
      <c r="K53">
        <f>装備閲覧!P53</f>
        <v>2</v>
      </c>
      <c r="L53">
        <f>装備閲覧!R53</f>
        <v>0</v>
      </c>
      <c r="M53">
        <f>装備閲覧!S53</f>
        <v>0</v>
      </c>
      <c r="N53" t="str">
        <f>装備閲覧!T53</f>
        <v>無</v>
      </c>
      <c r="O53">
        <f>装備閲覧!AA53</f>
        <v>6</v>
      </c>
      <c r="P53" s="1" t="str">
        <f>IFERROR(IFERROR(VLOOKUP(C53,改修!A:B,2,0),_xlfn.NUMBERVALUE(VLOOKUP(C53,特殊改修値!C:D,2,0))),"×")</f>
        <v>×</v>
      </c>
      <c r="Q53" t="str">
        <f>IFERROR(VLOOKUP(C53,装備ボーナス!B:C,2,0),"×")</f>
        <v>〇</v>
      </c>
      <c r="R53" t="str">
        <f>VLOOKUP(A53,wikiName!A:B,2,0)</f>
        <v>流星改</v>
      </c>
    </row>
    <row r="54" spans="1:18" x14ac:dyDescent="0.4">
      <c r="A54">
        <f>装備閲覧!B54</f>
        <v>53</v>
      </c>
      <c r="B54" t="str">
        <f>装備閲覧!C54</f>
        <v>艦上戦闘機</v>
      </c>
      <c r="C54" t="str">
        <f>装備閲覧!D54</f>
        <v>烈風 一一型</v>
      </c>
      <c r="D54">
        <f>装備閲覧!H54</f>
        <v>6</v>
      </c>
      <c r="E54">
        <f>装備閲覧!J54</f>
        <v>0</v>
      </c>
      <c r="F54">
        <f>装備閲覧!K54</f>
        <v>0</v>
      </c>
      <c r="G54">
        <f>装備閲覧!L54</f>
        <v>12</v>
      </c>
      <c r="H54">
        <f>装備閲覧!M54</f>
        <v>0</v>
      </c>
      <c r="I54">
        <f>装備閲覧!N54</f>
        <v>0</v>
      </c>
      <c r="J54">
        <f>装備閲覧!O54</f>
        <v>0</v>
      </c>
      <c r="K54">
        <f>装備閲覧!P54</f>
        <v>0</v>
      </c>
      <c r="L54">
        <f>装備閲覧!R54</f>
        <v>0</v>
      </c>
      <c r="M54">
        <f>装備閲覧!S54</f>
        <v>0</v>
      </c>
      <c r="N54" t="str">
        <f>装備閲覧!T54</f>
        <v>無</v>
      </c>
      <c r="O54">
        <f>装備閲覧!AA54</f>
        <v>5</v>
      </c>
      <c r="P54" s="1" t="str">
        <f>IFERROR(IFERROR(VLOOKUP(C54,改修!A:B,2,0),_xlfn.NUMBERVALUE(VLOOKUP(C54,特殊改修値!C:D,2,0))),"×")</f>
        <v>×</v>
      </c>
      <c r="Q54" t="str">
        <f>IFERROR(VLOOKUP(C54,装備ボーナス!B:C,2,0),"×")</f>
        <v>×</v>
      </c>
      <c r="R54" t="str">
        <f>VLOOKUP(A54,wikiName!A:B,2,0)</f>
        <v>烈風 一一型</v>
      </c>
    </row>
    <row r="55" spans="1:18" x14ac:dyDescent="0.4">
      <c r="A55">
        <f>装備閲覧!B55</f>
        <v>54</v>
      </c>
      <c r="B55" t="str">
        <f>装備閲覧!C55</f>
        <v>艦上偵察機</v>
      </c>
      <c r="C55" t="str">
        <f>装備閲覧!D55</f>
        <v>彩雲</v>
      </c>
      <c r="D55">
        <f>装備閲覧!H55</f>
        <v>9</v>
      </c>
      <c r="E55">
        <f>装備閲覧!J55</f>
        <v>0</v>
      </c>
      <c r="F55">
        <f>装備閲覧!K55</f>
        <v>0</v>
      </c>
      <c r="G55">
        <f>装備閲覧!L55</f>
        <v>0</v>
      </c>
      <c r="H55">
        <f>装備閲覧!M55</f>
        <v>0</v>
      </c>
      <c r="I55">
        <f>装備閲覧!N55</f>
        <v>0</v>
      </c>
      <c r="J55">
        <f>装備閲覧!O55</f>
        <v>0</v>
      </c>
      <c r="K55">
        <f>装備閲覧!P55</f>
        <v>9</v>
      </c>
      <c r="L55">
        <f>装備閲覧!R55</f>
        <v>2</v>
      </c>
      <c r="M55">
        <f>装備閲覧!S55</f>
        <v>0</v>
      </c>
      <c r="N55" t="str">
        <f>装備閲覧!T55</f>
        <v>無</v>
      </c>
      <c r="O55">
        <f>装備閲覧!AA55</f>
        <v>8</v>
      </c>
      <c r="P55" s="1">
        <f>IFERROR(IFERROR(VLOOKUP(C55,改修!A:B,2,0),_xlfn.NUMBERVALUE(VLOOKUP(C55,特殊改修値!C:D,2,0))),"×")</f>
        <v>2</v>
      </c>
      <c r="Q55" t="str">
        <f>IFERROR(VLOOKUP(C55,装備ボーナス!B:C,2,0),"×")</f>
        <v>〇</v>
      </c>
      <c r="R55" t="str">
        <f>VLOOKUP(A55,wikiName!A:B,2,0)</f>
        <v>彩雲</v>
      </c>
    </row>
    <row r="56" spans="1:18" x14ac:dyDescent="0.4">
      <c r="A56">
        <f>装備閲覧!B56</f>
        <v>55</v>
      </c>
      <c r="B56" t="str">
        <f>装備閲覧!C56</f>
        <v>艦上戦闘機</v>
      </c>
      <c r="C56" t="str">
        <f>装備閲覧!D56</f>
        <v>紫電改二</v>
      </c>
      <c r="D56">
        <f>装備閲覧!H56</f>
        <v>6</v>
      </c>
      <c r="E56">
        <f>装備閲覧!J56</f>
        <v>0</v>
      </c>
      <c r="F56">
        <f>装備閲覧!K56</f>
        <v>0</v>
      </c>
      <c r="G56">
        <f>装備閲覧!L56</f>
        <v>9</v>
      </c>
      <c r="H56">
        <f>装備閲覧!M56</f>
        <v>0</v>
      </c>
      <c r="I56">
        <f>装備閲覧!N56</f>
        <v>0</v>
      </c>
      <c r="J56">
        <f>装備閲覧!O56</f>
        <v>3</v>
      </c>
      <c r="K56">
        <f>装備閲覧!P56</f>
        <v>0</v>
      </c>
      <c r="L56">
        <f>装備閲覧!R56</f>
        <v>0</v>
      </c>
      <c r="M56">
        <f>装備閲覧!S56</f>
        <v>0</v>
      </c>
      <c r="N56" t="str">
        <f>装備閲覧!T56</f>
        <v>無</v>
      </c>
      <c r="O56">
        <f>装備閲覧!AA56</f>
        <v>3</v>
      </c>
      <c r="P56" s="1" t="str">
        <f>IFERROR(IFERROR(VLOOKUP(C56,改修!A:B,2,0),_xlfn.NUMBERVALUE(VLOOKUP(C56,特殊改修値!C:D,2,0))),"×")</f>
        <v>×</v>
      </c>
      <c r="Q56" t="str">
        <f>IFERROR(VLOOKUP(C56,装備ボーナス!B:C,2,0),"×")</f>
        <v>×</v>
      </c>
      <c r="R56" t="str">
        <f>VLOOKUP(A56,wikiName!A:B,2,0)</f>
        <v>紫電改二</v>
      </c>
    </row>
    <row r="57" spans="1:18" x14ac:dyDescent="0.4">
      <c r="A57">
        <f>装備閲覧!B57</f>
        <v>56</v>
      </c>
      <c r="B57" t="str">
        <f>装備閲覧!C57</f>
        <v>艦上戦闘機</v>
      </c>
      <c r="C57" t="str">
        <f>装備閲覧!D57</f>
        <v>震電改</v>
      </c>
      <c r="D57">
        <f>装備閲覧!H57</f>
        <v>6</v>
      </c>
      <c r="E57">
        <f>装備閲覧!J57</f>
        <v>0</v>
      </c>
      <c r="F57">
        <f>装備閲覧!K57</f>
        <v>0</v>
      </c>
      <c r="G57">
        <f>装備閲覧!L57</f>
        <v>15</v>
      </c>
      <c r="H57">
        <f>装備閲覧!M57</f>
        <v>0</v>
      </c>
      <c r="I57">
        <f>装備閲覧!N57</f>
        <v>0</v>
      </c>
      <c r="J57">
        <f>装備閲覧!O57</f>
        <v>0</v>
      </c>
      <c r="K57">
        <f>装備閲覧!P57</f>
        <v>0</v>
      </c>
      <c r="L57">
        <f>装備閲覧!R57</f>
        <v>0</v>
      </c>
      <c r="M57">
        <f>装備閲覧!S57</f>
        <v>0</v>
      </c>
      <c r="N57" t="str">
        <f>装備閲覧!T57</f>
        <v>無</v>
      </c>
      <c r="O57">
        <f>装備閲覧!AA57</f>
        <v>2</v>
      </c>
      <c r="P57" s="1" t="str">
        <f>IFERROR(IFERROR(VLOOKUP(C57,改修!A:B,2,0),_xlfn.NUMBERVALUE(VLOOKUP(C57,特殊改修値!C:D,2,0))),"×")</f>
        <v>×</v>
      </c>
      <c r="Q57" t="str">
        <f>IFERROR(VLOOKUP(C57,装備ボーナス!B:C,2,0),"×")</f>
        <v>×</v>
      </c>
      <c r="R57" t="str">
        <f>VLOOKUP(A57,wikiName!A:B,2,0)</f>
        <v>震電改</v>
      </c>
    </row>
    <row r="58" spans="1:18" x14ac:dyDescent="0.4">
      <c r="A58">
        <f>装備閲覧!B58</f>
        <v>57</v>
      </c>
      <c r="B58" t="str">
        <f>装備閲覧!C58</f>
        <v>艦上爆撃機</v>
      </c>
      <c r="C58" t="str">
        <f>装備閲覧!D58</f>
        <v>彗星一二型甲</v>
      </c>
      <c r="D58">
        <f>装備閲覧!H58</f>
        <v>7</v>
      </c>
      <c r="E58">
        <f>装備閲覧!J58</f>
        <v>0</v>
      </c>
      <c r="F58">
        <f>装備閲覧!K58</f>
        <v>0</v>
      </c>
      <c r="G58">
        <f>装備閲覧!L58</f>
        <v>0</v>
      </c>
      <c r="H58">
        <f>装備閲覧!M58</f>
        <v>0</v>
      </c>
      <c r="I58">
        <f>装備閲覧!N58</f>
        <v>3</v>
      </c>
      <c r="J58">
        <f>装備閲覧!O58</f>
        <v>0</v>
      </c>
      <c r="K58">
        <f>装備閲覧!P58</f>
        <v>1</v>
      </c>
      <c r="L58">
        <f>装備閲覧!R58</f>
        <v>0</v>
      </c>
      <c r="M58">
        <f>装備閲覧!S58</f>
        <v>10</v>
      </c>
      <c r="N58" t="str">
        <f>装備閲覧!T58</f>
        <v>無</v>
      </c>
      <c r="O58">
        <f>装備閲覧!AA58</f>
        <v>5</v>
      </c>
      <c r="P58" s="1" t="str">
        <f>IFERROR(IFERROR(VLOOKUP(C58,改修!A:B,2,0),_xlfn.NUMBERVALUE(VLOOKUP(C58,特殊改修値!C:D,2,0))),"×")</f>
        <v>×</v>
      </c>
      <c r="Q58" t="str">
        <f>IFERROR(VLOOKUP(C58,装備ボーナス!B:C,2,0),"×")</f>
        <v>〇</v>
      </c>
      <c r="R58" t="str">
        <f>VLOOKUP(A58,wikiName!A:B,2,0)</f>
        <v>彗星一二型甲</v>
      </c>
    </row>
    <row r="59" spans="1:18" x14ac:dyDescent="0.4">
      <c r="A59">
        <f>装備閲覧!B59</f>
        <v>58</v>
      </c>
      <c r="B59" t="str">
        <f>装備閲覧!C59</f>
        <v>魚雷</v>
      </c>
      <c r="C59" t="str">
        <f>装備閲覧!D59</f>
        <v>61cm五連装(酸素)魚雷</v>
      </c>
      <c r="D59">
        <f>装備閲覧!H59</f>
        <v>5</v>
      </c>
      <c r="E59">
        <f>装備閲覧!J59</f>
        <v>0</v>
      </c>
      <c r="F59">
        <f>装備閲覧!K59</f>
        <v>12</v>
      </c>
      <c r="G59">
        <f>装備閲覧!L59</f>
        <v>0</v>
      </c>
      <c r="H59">
        <f>装備閲覧!M59</f>
        <v>0</v>
      </c>
      <c r="I59">
        <f>装備閲覧!N59</f>
        <v>0</v>
      </c>
      <c r="J59">
        <f>装備閲覧!O59</f>
        <v>0</v>
      </c>
      <c r="K59">
        <f>装備閲覧!P59</f>
        <v>0</v>
      </c>
      <c r="L59">
        <f>装備閲覧!R59</f>
        <v>1</v>
      </c>
      <c r="M59">
        <f>装備閲覧!S59</f>
        <v>0</v>
      </c>
      <c r="N59" t="str">
        <f>装備閲覧!T59</f>
        <v>短</v>
      </c>
      <c r="O59">
        <f>装備閲覧!AA59</f>
        <v>0</v>
      </c>
      <c r="P59" s="1" t="str">
        <f>IFERROR(IFERROR(VLOOKUP(C59,改修!A:B,2,0),_xlfn.NUMBERVALUE(VLOOKUP(C59,特殊改修値!C:D,2,0))),"×")</f>
        <v>〇</v>
      </c>
      <c r="Q59" t="str">
        <f>IFERROR(VLOOKUP(C59,装備ボーナス!B:C,2,0),"×")</f>
        <v>〇</v>
      </c>
      <c r="R59" t="str">
        <f>VLOOKUP(A59,wikiName!A:B,2,0)</f>
        <v>61cm五連装(酸素)魚雷</v>
      </c>
    </row>
    <row r="60" spans="1:18" x14ac:dyDescent="0.4">
      <c r="A60">
        <f>装備閲覧!B60</f>
        <v>59</v>
      </c>
      <c r="B60" t="str">
        <f>装備閲覧!C60</f>
        <v>水上偵察機</v>
      </c>
      <c r="C60" t="str">
        <f>装備閲覧!D60</f>
        <v>零式水上観測機</v>
      </c>
      <c r="D60">
        <f>装備閲覧!H60</f>
        <v>10</v>
      </c>
      <c r="E60">
        <f>装備閲覧!J60</f>
        <v>0</v>
      </c>
      <c r="F60">
        <f>装備閲覧!K60</f>
        <v>0</v>
      </c>
      <c r="G60">
        <f>装備閲覧!L60</f>
        <v>2</v>
      </c>
      <c r="H60">
        <f>装備閲覧!M60</f>
        <v>0</v>
      </c>
      <c r="I60">
        <f>装備閲覧!N60</f>
        <v>4</v>
      </c>
      <c r="J60">
        <f>装備閲覧!O60</f>
        <v>0</v>
      </c>
      <c r="K60">
        <f>装備閲覧!P60</f>
        <v>6</v>
      </c>
      <c r="L60">
        <f>装備閲覧!R60</f>
        <v>2</v>
      </c>
      <c r="M60">
        <f>装備閲覧!S60</f>
        <v>1</v>
      </c>
      <c r="N60" t="str">
        <f>装備閲覧!T60</f>
        <v>無</v>
      </c>
      <c r="O60">
        <f>装備閲覧!AA60</f>
        <v>3</v>
      </c>
      <c r="P60" s="1" t="str">
        <f>IFERROR(IFERROR(VLOOKUP(C60,改修!A:B,2,0),_xlfn.NUMBERVALUE(VLOOKUP(C60,特殊改修値!C:D,2,0))),"×")</f>
        <v>〇</v>
      </c>
      <c r="Q60" t="str">
        <f>IFERROR(VLOOKUP(C60,装備ボーナス!B:C,2,0),"×")</f>
        <v>×</v>
      </c>
      <c r="R60" t="str">
        <f>VLOOKUP(A60,wikiName!A:B,2,0)</f>
        <v>零式水上観測機</v>
      </c>
    </row>
    <row r="61" spans="1:18" x14ac:dyDescent="0.4">
      <c r="A61">
        <f>装備閲覧!B61</f>
        <v>60</v>
      </c>
      <c r="B61" t="str">
        <f>装備閲覧!C61</f>
        <v>艦上爆撃機</v>
      </c>
      <c r="C61" t="str">
        <f>装備閲覧!D61</f>
        <v>零式艦戦62型(爆戦)</v>
      </c>
      <c r="D61">
        <f>装備閲覧!H61</f>
        <v>7</v>
      </c>
      <c r="E61">
        <f>装備閲覧!J61</f>
        <v>0</v>
      </c>
      <c r="F61">
        <f>装備閲覧!K61</f>
        <v>0</v>
      </c>
      <c r="G61">
        <f>装備閲覧!L61</f>
        <v>4</v>
      </c>
      <c r="H61">
        <f>装備閲覧!M61</f>
        <v>0</v>
      </c>
      <c r="I61">
        <f>装備閲覧!N61</f>
        <v>3</v>
      </c>
      <c r="J61">
        <f>装備閲覧!O61</f>
        <v>0</v>
      </c>
      <c r="K61">
        <f>装備閲覧!P61</f>
        <v>0</v>
      </c>
      <c r="L61">
        <f>装備閲覧!R61</f>
        <v>0</v>
      </c>
      <c r="M61">
        <f>装備閲覧!S61</f>
        <v>4</v>
      </c>
      <c r="N61" t="str">
        <f>装備閲覧!T61</f>
        <v>無</v>
      </c>
      <c r="O61">
        <f>装備閲覧!AA61</f>
        <v>4</v>
      </c>
      <c r="P61" s="1" t="str">
        <f>IFERROR(IFERROR(VLOOKUP(C61,改修!A:B,2,0),_xlfn.NUMBERVALUE(VLOOKUP(C61,特殊改修値!C:D,2,0))),"×")</f>
        <v>〇</v>
      </c>
      <c r="Q61" t="str">
        <f>IFERROR(VLOOKUP(C61,装備ボーナス!B:C,2,0),"×")</f>
        <v>×</v>
      </c>
      <c r="R61" t="str">
        <f>VLOOKUP(A61,wikiName!A:B,2,0)</f>
        <v>零式艦戦62型(爆戦)</v>
      </c>
    </row>
    <row r="62" spans="1:18" x14ac:dyDescent="0.4">
      <c r="A62">
        <f>装備閲覧!B62</f>
        <v>61</v>
      </c>
      <c r="B62" t="str">
        <f>装備閲覧!C62</f>
        <v>艦上偵察機</v>
      </c>
      <c r="C62" t="str">
        <f>装備閲覧!D62</f>
        <v>二式艦上偵察機</v>
      </c>
      <c r="D62">
        <f>装備閲覧!H62</f>
        <v>9</v>
      </c>
      <c r="E62">
        <f>装備閲覧!J62</f>
        <v>0</v>
      </c>
      <c r="F62">
        <f>装備閲覧!K62</f>
        <v>0</v>
      </c>
      <c r="G62">
        <f>装備閲覧!L62</f>
        <v>1</v>
      </c>
      <c r="H62">
        <f>装備閲覧!M62</f>
        <v>0</v>
      </c>
      <c r="I62">
        <f>装備閲覧!N62</f>
        <v>0</v>
      </c>
      <c r="J62">
        <f>装備閲覧!O62</f>
        <v>0</v>
      </c>
      <c r="K62">
        <f>装備閲覧!P62</f>
        <v>7</v>
      </c>
      <c r="L62">
        <f>装備閲覧!R62</f>
        <v>3</v>
      </c>
      <c r="M62">
        <f>装備閲覧!S62</f>
        <v>0</v>
      </c>
      <c r="N62" t="str">
        <f>装備閲覧!T62</f>
        <v>無</v>
      </c>
      <c r="O62">
        <f>装備閲覧!AA62</f>
        <v>5</v>
      </c>
      <c r="P62" s="1" t="str">
        <f>IFERROR(IFERROR(VLOOKUP(C62,改修!A:B,2,0),_xlfn.NUMBERVALUE(VLOOKUP(C62,特殊改修値!C:D,2,0))),"×")</f>
        <v>〇</v>
      </c>
      <c r="Q62" t="str">
        <f>IFERROR(VLOOKUP(C62,装備ボーナス!B:C,2,0),"×")</f>
        <v>〇</v>
      </c>
      <c r="R62" t="str">
        <f>VLOOKUP(A62,wikiName!A:B,2,0)</f>
        <v>二式艦上偵察機</v>
      </c>
    </row>
    <row r="63" spans="1:18" x14ac:dyDescent="0.4">
      <c r="A63">
        <f>装備閲覧!B63</f>
        <v>62</v>
      </c>
      <c r="B63" t="str">
        <f>装備閲覧!C63</f>
        <v>水上爆撃機</v>
      </c>
      <c r="C63" t="str">
        <f>装備閲覧!D63</f>
        <v>試製晴嵐</v>
      </c>
      <c r="D63">
        <f>装備閲覧!H63</f>
        <v>10</v>
      </c>
      <c r="E63">
        <f>装備閲覧!J63</f>
        <v>0</v>
      </c>
      <c r="F63">
        <f>装備閲覧!K63</f>
        <v>0</v>
      </c>
      <c r="G63">
        <f>装備閲覧!L63</f>
        <v>0</v>
      </c>
      <c r="H63">
        <f>装備閲覧!M63</f>
        <v>0</v>
      </c>
      <c r="I63">
        <f>装備閲覧!N63</f>
        <v>6</v>
      </c>
      <c r="J63">
        <f>装備閲覧!O63</f>
        <v>0</v>
      </c>
      <c r="K63">
        <f>装備閲覧!P63</f>
        <v>6</v>
      </c>
      <c r="L63">
        <f>装備閲覧!R63</f>
        <v>1</v>
      </c>
      <c r="M63">
        <f>装備閲覧!S63</f>
        <v>11</v>
      </c>
      <c r="N63" t="str">
        <f>装備閲覧!T63</f>
        <v>無</v>
      </c>
      <c r="O63">
        <f>装備閲覧!AA63</f>
        <v>4</v>
      </c>
      <c r="P63" s="1" t="str">
        <f>IFERROR(IFERROR(VLOOKUP(C63,改修!A:B,2,0),_xlfn.NUMBERVALUE(VLOOKUP(C63,特殊改修値!C:D,2,0))),"×")</f>
        <v>×</v>
      </c>
      <c r="Q63" t="str">
        <f>IFERROR(VLOOKUP(C63,装備ボーナス!B:C,2,0),"×")</f>
        <v>×</v>
      </c>
      <c r="R63" t="str">
        <f>VLOOKUP(A63,wikiName!A:B,2,0)</f>
        <v>試製晴嵐</v>
      </c>
    </row>
    <row r="64" spans="1:18" x14ac:dyDescent="0.4">
      <c r="A64">
        <f>装備閲覧!B64</f>
        <v>63</v>
      </c>
      <c r="B64" t="str">
        <f>装備閲覧!C64</f>
        <v>小口径主砲</v>
      </c>
      <c r="C64" t="str">
        <f>装備閲覧!D64</f>
        <v>12.7cm連装砲B型改二</v>
      </c>
      <c r="D64">
        <f>装備閲覧!H64</f>
        <v>1</v>
      </c>
      <c r="E64">
        <f>装備閲覧!J64</f>
        <v>3</v>
      </c>
      <c r="F64">
        <f>装備閲覧!K64</f>
        <v>0</v>
      </c>
      <c r="G64">
        <f>装備閲覧!L64</f>
        <v>2</v>
      </c>
      <c r="H64">
        <f>装備閲覧!M64</f>
        <v>0</v>
      </c>
      <c r="I64">
        <f>装備閲覧!N64</f>
        <v>0</v>
      </c>
      <c r="J64">
        <f>装備閲覧!O64</f>
        <v>0</v>
      </c>
      <c r="K64">
        <f>装備閲覧!P64</f>
        <v>0</v>
      </c>
      <c r="L64">
        <f>装備閲覧!R64</f>
        <v>0</v>
      </c>
      <c r="M64">
        <f>装備閲覧!S64</f>
        <v>0</v>
      </c>
      <c r="N64" t="str">
        <f>装備閲覧!T64</f>
        <v>短</v>
      </c>
      <c r="O64">
        <f>装備閲覧!AA64</f>
        <v>0</v>
      </c>
      <c r="P64" s="1" t="str">
        <f>IFERROR(IFERROR(VLOOKUP(C64,改修!A:B,2,0),_xlfn.NUMBERVALUE(VLOOKUP(C64,特殊改修値!C:D,2,0))),"×")</f>
        <v>〇</v>
      </c>
      <c r="Q64" t="str">
        <f>IFERROR(VLOOKUP(C64,装備ボーナス!B:C,2,0),"×")</f>
        <v>〇</v>
      </c>
      <c r="R64" t="str">
        <f>VLOOKUP(A64,wikiName!A:B,2,0)</f>
        <v>12.7cm連装砲B型改二</v>
      </c>
    </row>
    <row r="65" spans="1:18" x14ac:dyDescent="0.4">
      <c r="A65">
        <f>装備閲覧!B65</f>
        <v>64</v>
      </c>
      <c r="B65" t="str">
        <f>装備閲覧!C65</f>
        <v>艦上爆撃機</v>
      </c>
      <c r="C65" t="str">
        <f>装備閲覧!D65</f>
        <v>Ju87C改</v>
      </c>
      <c r="D65">
        <f>装備閲覧!H65</f>
        <v>7</v>
      </c>
      <c r="E65">
        <f>装備閲覧!J65</f>
        <v>0</v>
      </c>
      <c r="F65">
        <f>装備閲覧!K65</f>
        <v>0</v>
      </c>
      <c r="G65">
        <f>装備閲覧!L65</f>
        <v>0</v>
      </c>
      <c r="H65">
        <f>装備閲覧!M65</f>
        <v>0</v>
      </c>
      <c r="I65">
        <f>装備閲覧!N65</f>
        <v>5</v>
      </c>
      <c r="J65">
        <f>装備閲覧!O65</f>
        <v>0</v>
      </c>
      <c r="K65">
        <f>装備閲覧!P65</f>
        <v>0</v>
      </c>
      <c r="L65">
        <f>装備閲覧!R65</f>
        <v>1</v>
      </c>
      <c r="M65">
        <f>装備閲覧!S65</f>
        <v>9</v>
      </c>
      <c r="N65" t="str">
        <f>装備閲覧!T65</f>
        <v>無</v>
      </c>
      <c r="O65">
        <f>装備閲覧!AA65</f>
        <v>4</v>
      </c>
      <c r="P65" s="1" t="str">
        <f>IFERROR(IFERROR(VLOOKUP(C65,改修!A:B,2,0),_xlfn.NUMBERVALUE(VLOOKUP(C65,特殊改修値!C:D,2,0))),"×")</f>
        <v>×</v>
      </c>
      <c r="Q65" t="str">
        <f>IFERROR(VLOOKUP(C65,装備ボーナス!B:C,2,0),"×")</f>
        <v>×</v>
      </c>
      <c r="R65" t="str">
        <f>VLOOKUP(A65,wikiName!A:B,2,0)</f>
        <v>Ju87C改</v>
      </c>
    </row>
    <row r="66" spans="1:18" x14ac:dyDescent="0.4">
      <c r="A66">
        <f>装備閲覧!B66</f>
        <v>65</v>
      </c>
      <c r="B66" t="str">
        <f>装備閲覧!C66</f>
        <v>中口径主砲</v>
      </c>
      <c r="C66" t="str">
        <f>装備閲覧!D66</f>
        <v>15.2cm連装砲</v>
      </c>
      <c r="D66">
        <f>装備閲覧!H66</f>
        <v>2</v>
      </c>
      <c r="E66">
        <f>装備閲覧!J66</f>
        <v>5</v>
      </c>
      <c r="F66">
        <f>装備閲覧!K66</f>
        <v>0</v>
      </c>
      <c r="G66">
        <f>装備閲覧!L66</f>
        <v>3</v>
      </c>
      <c r="H66">
        <f>装備閲覧!M66</f>
        <v>0</v>
      </c>
      <c r="I66">
        <f>装備閲覧!N66</f>
        <v>0</v>
      </c>
      <c r="J66">
        <f>装備閲覧!O66</f>
        <v>0</v>
      </c>
      <c r="K66">
        <f>装備閲覧!P66</f>
        <v>0</v>
      </c>
      <c r="L66">
        <f>装備閲覧!R66</f>
        <v>3</v>
      </c>
      <c r="M66">
        <f>装備閲覧!S66</f>
        <v>0</v>
      </c>
      <c r="N66" t="str">
        <f>装備閲覧!T66</f>
        <v>中</v>
      </c>
      <c r="O66">
        <f>装備閲覧!AA66</f>
        <v>0</v>
      </c>
      <c r="P66" s="1" t="str">
        <f>IFERROR(IFERROR(VLOOKUP(C66,改修!A:B,2,0),_xlfn.NUMBERVALUE(VLOOKUP(C66,特殊改修値!C:D,2,0))),"×")</f>
        <v>〇</v>
      </c>
      <c r="Q66" t="str">
        <f>IFERROR(VLOOKUP(C66,装備ボーナス!B:C,2,0),"×")</f>
        <v>×</v>
      </c>
      <c r="R66" t="str">
        <f>VLOOKUP(A66,wikiName!A:B,2,0)</f>
        <v>15.2cm連装砲</v>
      </c>
    </row>
    <row r="67" spans="1:18" x14ac:dyDescent="0.4">
      <c r="A67">
        <f>装備閲覧!B67</f>
        <v>66</v>
      </c>
      <c r="B67" t="str">
        <f>装備閲覧!C67</f>
        <v>副砲</v>
      </c>
      <c r="C67" t="str">
        <f>装備閲覧!D67</f>
        <v>8cm高角砲</v>
      </c>
      <c r="D67">
        <f>装備閲覧!H67</f>
        <v>16</v>
      </c>
      <c r="E67">
        <f>装備閲覧!J67</f>
        <v>1</v>
      </c>
      <c r="F67">
        <f>装備閲覧!K67</f>
        <v>0</v>
      </c>
      <c r="G67">
        <f>装備閲覧!L67</f>
        <v>6</v>
      </c>
      <c r="H67">
        <f>装備閲覧!M67</f>
        <v>0</v>
      </c>
      <c r="I67">
        <f>装備閲覧!N67</f>
        <v>0</v>
      </c>
      <c r="J67">
        <f>装備閲覧!O67</f>
        <v>0</v>
      </c>
      <c r="K67">
        <f>装備閲覧!P67</f>
        <v>0</v>
      </c>
      <c r="L67">
        <f>装備閲覧!R67</f>
        <v>2</v>
      </c>
      <c r="M67">
        <f>装備閲覧!S67</f>
        <v>0</v>
      </c>
      <c r="N67" t="str">
        <f>装備閲覧!T67</f>
        <v>短</v>
      </c>
      <c r="O67">
        <f>装備閲覧!AA67</f>
        <v>0</v>
      </c>
      <c r="P67" s="1" t="str">
        <f>IFERROR(IFERROR(VLOOKUP(C67,改修!A:B,2,0),_xlfn.NUMBERVALUE(VLOOKUP(C67,特殊改修値!C:D,2,0))),"×")</f>
        <v>〇</v>
      </c>
      <c r="Q67" t="str">
        <f>IFERROR(VLOOKUP(C67,装備ボーナス!B:C,2,0),"×")</f>
        <v>×</v>
      </c>
      <c r="R67" t="str">
        <f>VLOOKUP(A67,wikiName!A:B,2,0)</f>
        <v>8cm高角砲</v>
      </c>
    </row>
    <row r="68" spans="1:18" x14ac:dyDescent="0.4">
      <c r="A68">
        <f>装備閲覧!B68</f>
        <v>67</v>
      </c>
      <c r="B68" t="str">
        <f>装備閲覧!C68</f>
        <v>魚雷</v>
      </c>
      <c r="C68" t="str">
        <f>装備閲覧!D68</f>
        <v>53cm艦首(酸素)魚雷</v>
      </c>
      <c r="D68">
        <f>装備閲覧!H68</f>
        <v>5</v>
      </c>
      <c r="E68">
        <f>装備閲覧!J68</f>
        <v>0</v>
      </c>
      <c r="F68">
        <f>装備閲覧!K68</f>
        <v>15</v>
      </c>
      <c r="G68">
        <f>装備閲覧!L68</f>
        <v>0</v>
      </c>
      <c r="H68">
        <f>装備閲覧!M68</f>
        <v>0</v>
      </c>
      <c r="I68">
        <f>装備閲覧!N68</f>
        <v>0</v>
      </c>
      <c r="J68">
        <f>装備閲覧!O68</f>
        <v>0</v>
      </c>
      <c r="K68">
        <f>装備閲覧!P68</f>
        <v>0</v>
      </c>
      <c r="L68">
        <f>装備閲覧!R68</f>
        <v>2</v>
      </c>
      <c r="M68">
        <f>装備閲覧!S68</f>
        <v>0</v>
      </c>
      <c r="N68" t="str">
        <f>装備閲覧!T68</f>
        <v>短</v>
      </c>
      <c r="O68">
        <f>装備閲覧!AA68</f>
        <v>0</v>
      </c>
      <c r="P68" s="1" t="str">
        <f>IFERROR(IFERROR(VLOOKUP(C68,改修!A:B,2,0),_xlfn.NUMBERVALUE(VLOOKUP(C68,特殊改修値!C:D,2,0))),"×")</f>
        <v>×</v>
      </c>
      <c r="Q68" t="str">
        <f>IFERROR(VLOOKUP(C68,装備ボーナス!B:C,2,0),"×")</f>
        <v>〇</v>
      </c>
      <c r="R68" t="str">
        <f>VLOOKUP(A68,wikiName!A:B,2,0)</f>
        <v>53cm艦首(酸素)魚雷</v>
      </c>
    </row>
    <row r="69" spans="1:18" x14ac:dyDescent="0.4">
      <c r="A69">
        <f>装備閲覧!B69</f>
        <v>68</v>
      </c>
      <c r="B69" t="str">
        <f>装備閲覧!C69</f>
        <v>上陸用舟艇</v>
      </c>
      <c r="C69" t="str">
        <f>装備閲覧!D69</f>
        <v>大発動艇</v>
      </c>
      <c r="D69">
        <f>装備閲覧!H69</f>
        <v>20</v>
      </c>
      <c r="E69">
        <f>装備閲覧!J69</f>
        <v>0</v>
      </c>
      <c r="F69">
        <f>装備閲覧!K69</f>
        <v>0</v>
      </c>
      <c r="G69">
        <f>装備閲覧!L69</f>
        <v>0</v>
      </c>
      <c r="H69">
        <f>装備閲覧!M69</f>
        <v>0</v>
      </c>
      <c r="I69">
        <f>装備閲覧!N69</f>
        <v>0</v>
      </c>
      <c r="J69">
        <f>装備閲覧!O69</f>
        <v>0</v>
      </c>
      <c r="K69">
        <f>装備閲覧!P69</f>
        <v>0</v>
      </c>
      <c r="L69">
        <f>装備閲覧!R69</f>
        <v>0</v>
      </c>
      <c r="M69">
        <f>装備閲覧!S69</f>
        <v>0</v>
      </c>
      <c r="N69" t="str">
        <f>装備閲覧!T69</f>
        <v>無</v>
      </c>
      <c r="O69">
        <f>装備閲覧!AA69</f>
        <v>0</v>
      </c>
      <c r="P69" s="1" t="str">
        <f>IFERROR(IFERROR(VLOOKUP(C69,改修!A:B,2,0),_xlfn.NUMBERVALUE(VLOOKUP(C69,特殊改修値!C:D,2,0))),"×")</f>
        <v>〇</v>
      </c>
      <c r="Q69" t="str">
        <f>IFERROR(VLOOKUP(C69,装備ボーナス!B:C,2,0),"×")</f>
        <v>×</v>
      </c>
      <c r="R69" t="str">
        <f>VLOOKUP(A69,wikiName!A:B,2,0)</f>
        <v>大発動艇</v>
      </c>
    </row>
    <row r="70" spans="1:18" x14ac:dyDescent="0.4">
      <c r="A70">
        <f>装備閲覧!B70</f>
        <v>69</v>
      </c>
      <c r="B70" t="str">
        <f>装備閲覧!C70</f>
        <v>オートジャイロ</v>
      </c>
      <c r="C70" t="str">
        <f>装備閲覧!D70</f>
        <v>カ号観測機</v>
      </c>
      <c r="D70">
        <f>装備閲覧!H70</f>
        <v>21</v>
      </c>
      <c r="E70">
        <f>装備閲覧!J70</f>
        <v>0</v>
      </c>
      <c r="F70">
        <f>装備閲覧!K70</f>
        <v>0</v>
      </c>
      <c r="G70">
        <f>装備閲覧!L70</f>
        <v>0</v>
      </c>
      <c r="H70">
        <f>装備閲覧!M70</f>
        <v>0</v>
      </c>
      <c r="I70">
        <f>装備閲覧!N70</f>
        <v>9</v>
      </c>
      <c r="J70">
        <f>装備閲覧!O70</f>
        <v>0</v>
      </c>
      <c r="K70">
        <f>装備閲覧!P70</f>
        <v>0</v>
      </c>
      <c r="L70">
        <f>装備閲覧!R70</f>
        <v>1</v>
      </c>
      <c r="M70">
        <f>装備閲覧!S70</f>
        <v>0</v>
      </c>
      <c r="N70" t="str">
        <f>装備閲覧!T70</f>
        <v>無</v>
      </c>
      <c r="O70">
        <f>装備閲覧!AA70</f>
        <v>0</v>
      </c>
      <c r="P70" s="1" t="str">
        <f>IFERROR(IFERROR(VLOOKUP(C70,改修!A:B,2,0),_xlfn.NUMBERVALUE(VLOOKUP(C70,特殊改修値!C:D,2,0))),"×")</f>
        <v>〇</v>
      </c>
      <c r="Q70" t="str">
        <f>IFERROR(VLOOKUP(C70,装備ボーナス!B:C,2,0),"×")</f>
        <v>〇</v>
      </c>
      <c r="R70" t="str">
        <f>VLOOKUP(A70,wikiName!A:B,2,0)</f>
        <v>カ号観測機</v>
      </c>
    </row>
    <row r="71" spans="1:18" x14ac:dyDescent="0.4">
      <c r="A71">
        <f>装備閲覧!B71</f>
        <v>70</v>
      </c>
      <c r="B71" t="str">
        <f>装備閲覧!C71</f>
        <v>対潜哨戒機</v>
      </c>
      <c r="C71" t="str">
        <f>装備閲覧!D71</f>
        <v>三式指揮連絡機(対潜)</v>
      </c>
      <c r="D71">
        <f>装備閲覧!H71</f>
        <v>22</v>
      </c>
      <c r="E71">
        <f>装備閲覧!J71</f>
        <v>0</v>
      </c>
      <c r="F71">
        <f>装備閲覧!K71</f>
        <v>0</v>
      </c>
      <c r="G71">
        <f>装備閲覧!L71</f>
        <v>0</v>
      </c>
      <c r="H71">
        <f>装備閲覧!M71</f>
        <v>0</v>
      </c>
      <c r="I71">
        <f>装備閲覧!N71</f>
        <v>7</v>
      </c>
      <c r="J71">
        <f>装備閲覧!O71</f>
        <v>0</v>
      </c>
      <c r="K71">
        <f>装備閲覧!P71</f>
        <v>1</v>
      </c>
      <c r="L71">
        <f>装備閲覧!R71</f>
        <v>2</v>
      </c>
      <c r="M71">
        <f>装備閲覧!S71</f>
        <v>0</v>
      </c>
      <c r="N71" t="str">
        <f>装備閲覧!T71</f>
        <v>無</v>
      </c>
      <c r="O71">
        <f>装備閲覧!AA71</f>
        <v>0</v>
      </c>
      <c r="P71" s="1" t="str">
        <f>IFERROR(IFERROR(VLOOKUP(C71,改修!A:B,2,0),_xlfn.NUMBERVALUE(VLOOKUP(C71,特殊改修値!C:D,2,0))),"×")</f>
        <v>×</v>
      </c>
      <c r="Q71" t="str">
        <f>IFERROR(VLOOKUP(C71,装備ボーナス!B:C,2,0),"×")</f>
        <v>×</v>
      </c>
      <c r="R71" t="str">
        <f>VLOOKUP(A71,wikiName!A:B,2,0)</f>
        <v>三式指揮連絡機(対潜)</v>
      </c>
    </row>
    <row r="72" spans="1:18" x14ac:dyDescent="0.4">
      <c r="A72">
        <f>装備閲覧!B72</f>
        <v>71</v>
      </c>
      <c r="B72" t="str">
        <f>装備閲覧!C72</f>
        <v>副砲</v>
      </c>
      <c r="C72" t="str">
        <f>装備閲覧!D72</f>
        <v>10cm連装高角砲(砲架)</v>
      </c>
      <c r="D72">
        <f>装備閲覧!H72</f>
        <v>16</v>
      </c>
      <c r="E72">
        <f>装備閲覧!J72</f>
        <v>1</v>
      </c>
      <c r="F72">
        <f>装備閲覧!K72</f>
        <v>0</v>
      </c>
      <c r="G72">
        <f>装備閲覧!L72</f>
        <v>7</v>
      </c>
      <c r="H72">
        <f>装備閲覧!M72</f>
        <v>0</v>
      </c>
      <c r="I72">
        <f>装備閲覧!N72</f>
        <v>0</v>
      </c>
      <c r="J72">
        <f>装備閲覧!O72</f>
        <v>0</v>
      </c>
      <c r="K72">
        <f>装備閲覧!P72</f>
        <v>0</v>
      </c>
      <c r="L72">
        <f>装備閲覧!R72</f>
        <v>1</v>
      </c>
      <c r="M72">
        <f>装備閲覧!S72</f>
        <v>0</v>
      </c>
      <c r="N72" t="str">
        <f>装備閲覧!T72</f>
        <v>短</v>
      </c>
      <c r="O72">
        <f>装備閲覧!AA72</f>
        <v>0</v>
      </c>
      <c r="P72" s="1" t="str">
        <f>IFERROR(IFERROR(VLOOKUP(C72,改修!A:B,2,0),_xlfn.NUMBERVALUE(VLOOKUP(C72,特殊改修値!C:D,2,0))),"×")</f>
        <v>×</v>
      </c>
      <c r="Q72" t="str">
        <f>IFERROR(VLOOKUP(C72,装備ボーナス!B:C,2,0),"×")</f>
        <v>×</v>
      </c>
      <c r="R72" t="str">
        <f>VLOOKUP(A72,wikiName!A:B,2,0)</f>
        <v>10cm連装高角砲(砲架)</v>
      </c>
    </row>
    <row r="73" spans="1:18" x14ac:dyDescent="0.4">
      <c r="A73">
        <f>装備閲覧!B73</f>
        <v>72</v>
      </c>
      <c r="B73" t="str">
        <f>装備閲覧!C73</f>
        <v>追加装甲(中型)</v>
      </c>
      <c r="C73" t="str">
        <f>装備閲覧!D73</f>
        <v>増設バルジ(中型艦)</v>
      </c>
      <c r="D73">
        <f>装備閲覧!H73</f>
        <v>23</v>
      </c>
      <c r="E73">
        <f>装備閲覧!J73</f>
        <v>0</v>
      </c>
      <c r="F73">
        <f>装備閲覧!K73</f>
        <v>0</v>
      </c>
      <c r="G73">
        <f>装備閲覧!L73</f>
        <v>0</v>
      </c>
      <c r="H73">
        <f>装備閲覧!M73</f>
        <v>7</v>
      </c>
      <c r="I73">
        <f>装備閲覧!N73</f>
        <v>0</v>
      </c>
      <c r="J73">
        <f>装備閲覧!O73</f>
        <v>-2</v>
      </c>
      <c r="K73">
        <f>装備閲覧!P73</f>
        <v>0</v>
      </c>
      <c r="L73">
        <f>装備閲覧!R73</f>
        <v>0</v>
      </c>
      <c r="M73">
        <f>装備閲覧!S73</f>
        <v>0</v>
      </c>
      <c r="N73" t="str">
        <f>装備閲覧!T73</f>
        <v>無</v>
      </c>
      <c r="O73">
        <f>装備閲覧!AA73</f>
        <v>0</v>
      </c>
      <c r="P73" s="1" t="str">
        <f>IFERROR(IFERROR(VLOOKUP(C73,改修!A:B,2,0),_xlfn.NUMBERVALUE(VLOOKUP(C73,特殊改修値!C:D,2,0))),"×")</f>
        <v>〇</v>
      </c>
      <c r="Q73" t="str">
        <f>IFERROR(VLOOKUP(C73,装備ボーナス!B:C,2,0),"×")</f>
        <v>×</v>
      </c>
      <c r="R73" t="str">
        <f>VLOOKUP(A73,wikiName!A:B,2,0)</f>
        <v>増設バルジ(中型艦)</v>
      </c>
    </row>
    <row r="74" spans="1:18" x14ac:dyDescent="0.4">
      <c r="A74">
        <f>装備閲覧!B74</f>
        <v>73</v>
      </c>
      <c r="B74" t="str">
        <f>装備閲覧!C74</f>
        <v>追加装甲(大型)</v>
      </c>
      <c r="C74" t="str">
        <f>装備閲覧!D74</f>
        <v>増設バルジ(大型艦)</v>
      </c>
      <c r="D74">
        <f>装備閲覧!H74</f>
        <v>23</v>
      </c>
      <c r="E74">
        <f>装備閲覧!J74</f>
        <v>0</v>
      </c>
      <c r="F74">
        <f>装備閲覧!K74</f>
        <v>0</v>
      </c>
      <c r="G74">
        <f>装備閲覧!L74</f>
        <v>0</v>
      </c>
      <c r="H74">
        <f>装備閲覧!M74</f>
        <v>9</v>
      </c>
      <c r="I74">
        <f>装備閲覧!N74</f>
        <v>0</v>
      </c>
      <c r="J74">
        <f>装備閲覧!O74</f>
        <v>-3</v>
      </c>
      <c r="K74">
        <f>装備閲覧!P74</f>
        <v>0</v>
      </c>
      <c r="L74">
        <f>装備閲覧!R74</f>
        <v>0</v>
      </c>
      <c r="M74">
        <f>装備閲覧!S74</f>
        <v>0</v>
      </c>
      <c r="N74" t="str">
        <f>装備閲覧!T74</f>
        <v>無</v>
      </c>
      <c r="O74">
        <f>装備閲覧!AA74</f>
        <v>0</v>
      </c>
      <c r="P74" s="1" t="str">
        <f>IFERROR(IFERROR(VLOOKUP(C74,改修!A:B,2,0),_xlfn.NUMBERVALUE(VLOOKUP(C74,特殊改修値!C:D,2,0))),"×")</f>
        <v>〇</v>
      </c>
      <c r="Q74" t="str">
        <f>IFERROR(VLOOKUP(C74,装備ボーナス!B:C,2,0),"×")</f>
        <v>×</v>
      </c>
      <c r="R74" t="str">
        <f>VLOOKUP(A74,wikiName!A:B,2,0)</f>
        <v>増設バルジ(大型艦)</v>
      </c>
    </row>
    <row r="75" spans="1:18" x14ac:dyDescent="0.4">
      <c r="A75">
        <f>装備閲覧!B75</f>
        <v>74</v>
      </c>
      <c r="B75" t="str">
        <f>装備閲覧!C75</f>
        <v>探照灯</v>
      </c>
      <c r="C75" t="str">
        <f>装備閲覧!D75</f>
        <v>探照灯</v>
      </c>
      <c r="D75">
        <f>装備閲覧!H75</f>
        <v>24</v>
      </c>
      <c r="E75">
        <f>装備閲覧!J75</f>
        <v>0</v>
      </c>
      <c r="F75">
        <f>装備閲覧!K75</f>
        <v>0</v>
      </c>
      <c r="G75">
        <f>装備閲覧!L75</f>
        <v>0</v>
      </c>
      <c r="H75">
        <f>装備閲覧!M75</f>
        <v>0</v>
      </c>
      <c r="I75">
        <f>装備閲覧!N75</f>
        <v>0</v>
      </c>
      <c r="J75">
        <f>装備閲覧!O75</f>
        <v>0</v>
      </c>
      <c r="K75">
        <f>装備閲覧!P75</f>
        <v>2</v>
      </c>
      <c r="L75">
        <f>装備閲覧!R75</f>
        <v>0</v>
      </c>
      <c r="M75">
        <f>装備閲覧!S75</f>
        <v>0</v>
      </c>
      <c r="N75" t="str">
        <f>装備閲覧!T75</f>
        <v>無</v>
      </c>
      <c r="O75">
        <f>装備閲覧!AA75</f>
        <v>0</v>
      </c>
      <c r="P75" s="1" t="str">
        <f>IFERROR(IFERROR(VLOOKUP(C75,改修!A:B,2,0),_xlfn.NUMBERVALUE(VLOOKUP(C75,特殊改修値!C:D,2,0))),"×")</f>
        <v>〇</v>
      </c>
      <c r="Q75" t="str">
        <f>IFERROR(VLOOKUP(C75,装備ボーナス!B:C,2,0),"×")</f>
        <v>〇</v>
      </c>
      <c r="R75" t="str">
        <f>VLOOKUP(A75,wikiName!A:B,2,0)</f>
        <v>探照灯</v>
      </c>
    </row>
    <row r="76" spans="1:18" x14ac:dyDescent="0.4">
      <c r="A76">
        <f>装備閲覧!B76</f>
        <v>75</v>
      </c>
      <c r="B76" t="str">
        <f>装備閲覧!C76</f>
        <v>簡易輸送部材</v>
      </c>
      <c r="C76" t="str">
        <f>装備閲覧!D76</f>
        <v>ドラム缶(輸送用)</v>
      </c>
      <c r="D76">
        <f>装備閲覧!H76</f>
        <v>25</v>
      </c>
      <c r="E76">
        <f>装備閲覧!J76</f>
        <v>0</v>
      </c>
      <c r="F76">
        <f>装備閲覧!K76</f>
        <v>0</v>
      </c>
      <c r="G76">
        <f>装備閲覧!L76</f>
        <v>0</v>
      </c>
      <c r="H76">
        <f>装備閲覧!M76</f>
        <v>0</v>
      </c>
      <c r="I76">
        <f>装備閲覧!N76</f>
        <v>0</v>
      </c>
      <c r="J76">
        <f>装備閲覧!O76</f>
        <v>0</v>
      </c>
      <c r="K76">
        <f>装備閲覧!P76</f>
        <v>0</v>
      </c>
      <c r="L76">
        <f>装備閲覧!R76</f>
        <v>0</v>
      </c>
      <c r="M76">
        <f>装備閲覧!S76</f>
        <v>0</v>
      </c>
      <c r="N76" t="str">
        <f>装備閲覧!T76</f>
        <v>無</v>
      </c>
      <c r="O76">
        <f>装備閲覧!AA76</f>
        <v>0</v>
      </c>
      <c r="P76" s="1" t="str">
        <f>IFERROR(IFERROR(VLOOKUP(C76,改修!A:B,2,0),_xlfn.NUMBERVALUE(VLOOKUP(C76,特殊改修値!C:D,2,0))),"×")</f>
        <v>×</v>
      </c>
      <c r="Q76" t="str">
        <f>IFERROR(VLOOKUP(C76,装備ボーナス!B:C,2,0),"×")</f>
        <v>×</v>
      </c>
      <c r="R76" t="str">
        <f>VLOOKUP(A76,wikiName!A:B,2,0)</f>
        <v>ドラム缶(輸送用)</v>
      </c>
    </row>
    <row r="77" spans="1:18" x14ac:dyDescent="0.4">
      <c r="A77">
        <f>装備閲覧!B77</f>
        <v>76</v>
      </c>
      <c r="B77" t="str">
        <f>装備閲覧!C77</f>
        <v>大口径主砲</v>
      </c>
      <c r="C77" t="str">
        <f>装備閲覧!D77</f>
        <v>38cm連装砲</v>
      </c>
      <c r="D77">
        <f>装備閲覧!H77</f>
        <v>3</v>
      </c>
      <c r="E77">
        <f>装備閲覧!J77</f>
        <v>16</v>
      </c>
      <c r="F77">
        <f>装備閲覧!K77</f>
        <v>0</v>
      </c>
      <c r="G77">
        <f>装備閲覧!L77</f>
        <v>1</v>
      </c>
      <c r="H77">
        <f>装備閲覧!M77</f>
        <v>0</v>
      </c>
      <c r="I77">
        <f>装備閲覧!N77</f>
        <v>0</v>
      </c>
      <c r="J77">
        <f>装備閲覧!O77</f>
        <v>0</v>
      </c>
      <c r="K77">
        <f>装備閲覧!P77</f>
        <v>0</v>
      </c>
      <c r="L77">
        <f>装備閲覧!R77</f>
        <v>1</v>
      </c>
      <c r="M77">
        <f>装備閲覧!S77</f>
        <v>0</v>
      </c>
      <c r="N77" t="str">
        <f>装備閲覧!T77</f>
        <v>長</v>
      </c>
      <c r="O77">
        <f>装備閲覧!AA77</f>
        <v>0</v>
      </c>
      <c r="P77" s="1" t="str">
        <f>IFERROR(IFERROR(VLOOKUP(C77,改修!A:B,2,0),_xlfn.NUMBERVALUE(VLOOKUP(C77,特殊改修値!C:D,2,0))),"×")</f>
        <v>〇</v>
      </c>
      <c r="Q77" t="str">
        <f>IFERROR(VLOOKUP(C77,装備ボーナス!B:C,2,0),"×")</f>
        <v>×</v>
      </c>
      <c r="R77" t="str">
        <f>VLOOKUP(A77,wikiName!A:B,2,0)</f>
        <v>38cm連装砲</v>
      </c>
    </row>
    <row r="78" spans="1:18" x14ac:dyDescent="0.4">
      <c r="A78">
        <f>装備閲覧!B78</f>
        <v>77</v>
      </c>
      <c r="B78" t="str">
        <f>装備閲覧!C78</f>
        <v>副砲</v>
      </c>
      <c r="C78" t="str">
        <f>装備閲覧!D78</f>
        <v>15cm連装副砲</v>
      </c>
      <c r="D78">
        <f>装備閲覧!H78</f>
        <v>4</v>
      </c>
      <c r="E78">
        <f>装備閲覧!J78</f>
        <v>4</v>
      </c>
      <c r="F78">
        <f>装備閲覧!K78</f>
        <v>0</v>
      </c>
      <c r="G78">
        <f>装備閲覧!L78</f>
        <v>2</v>
      </c>
      <c r="H78">
        <f>装備閲覧!M78</f>
        <v>0</v>
      </c>
      <c r="I78">
        <f>装備閲覧!N78</f>
        <v>0</v>
      </c>
      <c r="J78">
        <f>装備閲覧!O78</f>
        <v>0</v>
      </c>
      <c r="K78">
        <f>装備閲覧!P78</f>
        <v>0</v>
      </c>
      <c r="L78">
        <f>装備閲覧!R78</f>
        <v>2</v>
      </c>
      <c r="M78">
        <f>装備閲覧!S78</f>
        <v>0</v>
      </c>
      <c r="N78" t="str">
        <f>装備閲覧!T78</f>
        <v>中</v>
      </c>
      <c r="O78">
        <f>装備閲覧!AA78</f>
        <v>0</v>
      </c>
      <c r="P78" s="1" t="str">
        <f>IFERROR(IFERROR(VLOOKUP(C78,改修!A:B,2,0),_xlfn.NUMBERVALUE(VLOOKUP(C78,特殊改修値!C:D,2,0))),"×")</f>
        <v>×</v>
      </c>
      <c r="Q78" t="str">
        <f>IFERROR(VLOOKUP(C78,装備ボーナス!B:C,2,0),"×")</f>
        <v>×</v>
      </c>
      <c r="R78" t="str">
        <f>VLOOKUP(A78,wikiName!A:B,2,0)</f>
        <v>15cm連装副砲</v>
      </c>
    </row>
    <row r="79" spans="1:18" x14ac:dyDescent="0.4">
      <c r="A79">
        <f>装備閲覧!B79</f>
        <v>78</v>
      </c>
      <c r="B79" t="str">
        <f>装備閲覧!C79</f>
        <v>小口径主砲</v>
      </c>
      <c r="C79" t="str">
        <f>装備閲覧!D79</f>
        <v>12.7cm単装砲</v>
      </c>
      <c r="D79">
        <f>装備閲覧!H79</f>
        <v>1</v>
      </c>
      <c r="E79">
        <f>装備閲覧!J79</f>
        <v>2</v>
      </c>
      <c r="F79">
        <f>装備閲覧!K79</f>
        <v>0</v>
      </c>
      <c r="G79">
        <f>装備閲覧!L79</f>
        <v>0</v>
      </c>
      <c r="H79">
        <f>装備閲覧!M79</f>
        <v>0</v>
      </c>
      <c r="I79">
        <f>装備閲覧!N79</f>
        <v>0</v>
      </c>
      <c r="J79">
        <f>装備閲覧!O79</f>
        <v>0</v>
      </c>
      <c r="K79">
        <f>装備閲覧!P79</f>
        <v>0</v>
      </c>
      <c r="L79">
        <f>装備閲覧!R79</f>
        <v>1</v>
      </c>
      <c r="M79">
        <f>装備閲覧!S79</f>
        <v>0</v>
      </c>
      <c r="N79" t="str">
        <f>装備閲覧!T79</f>
        <v>短</v>
      </c>
      <c r="O79">
        <f>装備閲覧!AA79</f>
        <v>0</v>
      </c>
      <c r="P79" s="1" t="str">
        <f>IFERROR(IFERROR(VLOOKUP(C79,改修!A:B,2,0),_xlfn.NUMBERVALUE(VLOOKUP(C79,特殊改修値!C:D,2,0))),"×")</f>
        <v>×</v>
      </c>
      <c r="Q79" t="str">
        <f>IFERROR(VLOOKUP(C79,装備ボーナス!B:C,2,0),"×")</f>
        <v>×</v>
      </c>
      <c r="R79" t="str">
        <f>VLOOKUP(A79,wikiName!A:B,2,0)</f>
        <v>12.7cm単装砲</v>
      </c>
    </row>
    <row r="80" spans="1:18" x14ac:dyDescent="0.4">
      <c r="A80">
        <f>装備閲覧!B80</f>
        <v>79</v>
      </c>
      <c r="B80" t="str">
        <f>装備閲覧!C80</f>
        <v>水上爆撃機</v>
      </c>
      <c r="C80" t="str">
        <f>装備閲覧!D80</f>
        <v>瑞雲(六三四空)</v>
      </c>
      <c r="D80">
        <f>装備閲覧!H80</f>
        <v>10</v>
      </c>
      <c r="E80">
        <f>装備閲覧!J80</f>
        <v>0</v>
      </c>
      <c r="F80">
        <f>装備閲覧!K80</f>
        <v>0</v>
      </c>
      <c r="G80">
        <f>装備閲覧!L80</f>
        <v>2</v>
      </c>
      <c r="H80">
        <f>装備閲覧!M80</f>
        <v>0</v>
      </c>
      <c r="I80">
        <f>装備閲覧!N80</f>
        <v>5</v>
      </c>
      <c r="J80">
        <f>装備閲覧!O80</f>
        <v>0</v>
      </c>
      <c r="K80">
        <f>装備閲覧!P80</f>
        <v>6</v>
      </c>
      <c r="L80">
        <f>装備閲覧!R80</f>
        <v>1</v>
      </c>
      <c r="M80">
        <f>装備閲覧!S80</f>
        <v>6</v>
      </c>
      <c r="N80" t="str">
        <f>装備閲覧!T80</f>
        <v>無</v>
      </c>
      <c r="O80">
        <f>装備閲覧!AA80</f>
        <v>5</v>
      </c>
      <c r="P80" s="1" t="str">
        <f>IFERROR(IFERROR(VLOOKUP(C80,改修!A:B,2,0),_xlfn.NUMBERVALUE(VLOOKUP(C80,特殊改修値!C:D,2,0))),"×")</f>
        <v>〇</v>
      </c>
      <c r="Q80" t="str">
        <f>IFERROR(VLOOKUP(C80,装備ボーナス!B:C,2,0),"×")</f>
        <v>〇</v>
      </c>
      <c r="R80" t="str">
        <f>VLOOKUP(A80,wikiName!A:B,2,0)</f>
        <v>瑞雲(六三四空)</v>
      </c>
    </row>
    <row r="81" spans="1:18" x14ac:dyDescent="0.4">
      <c r="A81">
        <f>装備閲覧!B81</f>
        <v>80</v>
      </c>
      <c r="B81" t="str">
        <f>装備閲覧!C81</f>
        <v>水上爆撃機</v>
      </c>
      <c r="C81" t="str">
        <f>装備閲覧!D81</f>
        <v>瑞雲12型</v>
      </c>
      <c r="D81">
        <f>装備閲覧!H81</f>
        <v>10</v>
      </c>
      <c r="E81">
        <f>装備閲覧!J81</f>
        <v>0</v>
      </c>
      <c r="F81">
        <f>装備閲覧!K81</f>
        <v>0</v>
      </c>
      <c r="G81">
        <f>装備閲覧!L81</f>
        <v>3</v>
      </c>
      <c r="H81">
        <f>装備閲覧!M81</f>
        <v>0</v>
      </c>
      <c r="I81">
        <f>装備閲覧!N81</f>
        <v>5</v>
      </c>
      <c r="J81">
        <f>装備閲覧!O81</f>
        <v>0</v>
      </c>
      <c r="K81">
        <f>装備閲覧!P81</f>
        <v>6</v>
      </c>
      <c r="L81">
        <f>装備閲覧!R81</f>
        <v>1</v>
      </c>
      <c r="M81">
        <f>装備閲覧!S81</f>
        <v>7</v>
      </c>
      <c r="N81" t="str">
        <f>装備閲覧!T81</f>
        <v>無</v>
      </c>
      <c r="O81">
        <f>装備閲覧!AA81</f>
        <v>5</v>
      </c>
      <c r="P81" s="1" t="str">
        <f>IFERROR(IFERROR(VLOOKUP(C81,改修!A:B,2,0),_xlfn.NUMBERVALUE(VLOOKUP(C81,特殊改修値!C:D,2,0))),"×")</f>
        <v>×</v>
      </c>
      <c r="Q81" t="str">
        <f>IFERROR(VLOOKUP(C81,装備ボーナス!B:C,2,0),"×")</f>
        <v>×</v>
      </c>
      <c r="R81" t="str">
        <f>VLOOKUP(A81,wikiName!A:B,2,0)</f>
        <v>瑞雲12型</v>
      </c>
    </row>
    <row r="82" spans="1:18" x14ac:dyDescent="0.4">
      <c r="A82">
        <f>装備閲覧!B82</f>
        <v>81</v>
      </c>
      <c r="B82" t="str">
        <f>装備閲覧!C82</f>
        <v>水上爆撃機</v>
      </c>
      <c r="C82" t="str">
        <f>装備閲覧!D82</f>
        <v>瑞雲12型(六三四空)</v>
      </c>
      <c r="D82">
        <f>装備閲覧!H82</f>
        <v>10</v>
      </c>
      <c r="E82">
        <f>装備閲覧!J82</f>
        <v>0</v>
      </c>
      <c r="F82">
        <f>装備閲覧!K82</f>
        <v>0</v>
      </c>
      <c r="G82">
        <f>装備閲覧!L82</f>
        <v>3</v>
      </c>
      <c r="H82">
        <f>装備閲覧!M82</f>
        <v>0</v>
      </c>
      <c r="I82">
        <f>装備閲覧!N82</f>
        <v>6</v>
      </c>
      <c r="J82">
        <f>装備閲覧!O82</f>
        <v>0</v>
      </c>
      <c r="K82">
        <f>装備閲覧!P82</f>
        <v>7</v>
      </c>
      <c r="L82">
        <f>装備閲覧!R82</f>
        <v>1</v>
      </c>
      <c r="M82">
        <f>装備閲覧!S82</f>
        <v>9</v>
      </c>
      <c r="N82" t="str">
        <f>装備閲覧!T82</f>
        <v>無</v>
      </c>
      <c r="O82">
        <f>装備閲覧!AA82</f>
        <v>5</v>
      </c>
      <c r="P82" s="1" t="str">
        <f>IFERROR(IFERROR(VLOOKUP(C82,改修!A:B,2,0),_xlfn.NUMBERVALUE(VLOOKUP(C82,特殊改修値!C:D,2,0))),"×")</f>
        <v>×</v>
      </c>
      <c r="Q82" t="str">
        <f>IFERROR(VLOOKUP(C82,装備ボーナス!B:C,2,0),"×")</f>
        <v>〇</v>
      </c>
      <c r="R82" t="str">
        <f>VLOOKUP(A82,wikiName!A:B,2,0)</f>
        <v>瑞雲12型(六三四空)</v>
      </c>
    </row>
    <row r="83" spans="1:18" x14ac:dyDescent="0.4">
      <c r="A83">
        <f>装備閲覧!B83</f>
        <v>82</v>
      </c>
      <c r="B83" t="str">
        <f>装備閲覧!C83</f>
        <v>艦上攻撃機</v>
      </c>
      <c r="C83" t="str">
        <f>装備閲覧!D83</f>
        <v>九七式艦攻(九三一空)</v>
      </c>
      <c r="D83">
        <f>装備閲覧!H83</f>
        <v>8</v>
      </c>
      <c r="E83">
        <f>装備閲覧!J83</f>
        <v>0</v>
      </c>
      <c r="F83">
        <f>装備閲覧!K83</f>
        <v>6</v>
      </c>
      <c r="G83">
        <f>装備閲覧!L83</f>
        <v>0</v>
      </c>
      <c r="H83">
        <f>装備閲覧!M83</f>
        <v>0</v>
      </c>
      <c r="I83">
        <f>装備閲覧!N83</f>
        <v>7</v>
      </c>
      <c r="J83">
        <f>装備閲覧!O83</f>
        <v>0</v>
      </c>
      <c r="K83">
        <f>装備閲覧!P83</f>
        <v>2</v>
      </c>
      <c r="L83">
        <f>装備閲覧!R83</f>
        <v>0</v>
      </c>
      <c r="M83">
        <f>装備閲覧!S83</f>
        <v>0</v>
      </c>
      <c r="N83" t="str">
        <f>装備閲覧!T83</f>
        <v>無</v>
      </c>
      <c r="O83">
        <f>装備閲覧!AA83</f>
        <v>4</v>
      </c>
      <c r="P83" s="1" t="str">
        <f>IFERROR(IFERROR(VLOOKUP(C83,改修!A:B,2,0),_xlfn.NUMBERVALUE(VLOOKUP(C83,特殊改修値!C:D,2,0))),"×")</f>
        <v>〇</v>
      </c>
      <c r="Q83" t="str">
        <f>IFERROR(VLOOKUP(C83,装備ボーナス!B:C,2,0),"×")</f>
        <v>〇</v>
      </c>
      <c r="R83" t="str">
        <f>VLOOKUP(A83,wikiName!A:B,2,0)</f>
        <v>九七式艦攻(九三一空)</v>
      </c>
    </row>
    <row r="84" spans="1:18" x14ac:dyDescent="0.4">
      <c r="A84">
        <f>装備閲覧!B84</f>
        <v>83</v>
      </c>
      <c r="B84" t="str">
        <f>装備閲覧!C84</f>
        <v>艦上攻撃機</v>
      </c>
      <c r="C84" t="str">
        <f>装備閲覧!D84</f>
        <v>天山(九三一空)</v>
      </c>
      <c r="D84">
        <f>装備閲覧!H84</f>
        <v>8</v>
      </c>
      <c r="E84">
        <f>装備閲覧!J84</f>
        <v>0</v>
      </c>
      <c r="F84">
        <f>装備閲覧!K84</f>
        <v>9</v>
      </c>
      <c r="G84">
        <f>装備閲覧!L84</f>
        <v>0</v>
      </c>
      <c r="H84">
        <f>装備閲覧!M84</f>
        <v>0</v>
      </c>
      <c r="I84">
        <f>装備閲覧!N84</f>
        <v>8</v>
      </c>
      <c r="J84">
        <f>装備閲覧!O84</f>
        <v>0</v>
      </c>
      <c r="K84">
        <f>装備閲覧!P84</f>
        <v>2</v>
      </c>
      <c r="L84">
        <f>装備閲覧!R84</f>
        <v>0</v>
      </c>
      <c r="M84">
        <f>装備閲覧!S84</f>
        <v>0</v>
      </c>
      <c r="N84" t="str">
        <f>装備閲覧!T84</f>
        <v>無</v>
      </c>
      <c r="O84">
        <f>装備閲覧!AA84</f>
        <v>5</v>
      </c>
      <c r="P84" s="1">
        <f>IFERROR(IFERROR(VLOOKUP(C84,改修!A:B,2,0),_xlfn.NUMBERVALUE(VLOOKUP(C84,特殊改修値!C:D,2,0))),"×")</f>
        <v>2</v>
      </c>
      <c r="Q84" t="str">
        <f>IFERROR(VLOOKUP(C84,装備ボーナス!B:C,2,0),"×")</f>
        <v>×</v>
      </c>
      <c r="R84" t="str">
        <f>VLOOKUP(A84,wikiName!A:B,2,0)</f>
        <v>天山(九三一空)</v>
      </c>
    </row>
    <row r="85" spans="1:18" x14ac:dyDescent="0.4">
      <c r="A85">
        <f>装備閲覧!B85</f>
        <v>84</v>
      </c>
      <c r="B85" t="str">
        <f>装備閲覧!C85</f>
        <v>対空機銃</v>
      </c>
      <c r="C85" t="str">
        <f>装備閲覧!D85</f>
        <v>2cm 四連装FlaK 38</v>
      </c>
      <c r="D85">
        <f>装備閲覧!H85</f>
        <v>15</v>
      </c>
      <c r="E85">
        <f>装備閲覧!J85</f>
        <v>0</v>
      </c>
      <c r="F85">
        <f>装備閲覧!K85</f>
        <v>0</v>
      </c>
      <c r="G85">
        <f>装備閲覧!L85</f>
        <v>7</v>
      </c>
      <c r="H85">
        <f>装備閲覧!M85</f>
        <v>0</v>
      </c>
      <c r="I85">
        <f>装備閲覧!N85</f>
        <v>0</v>
      </c>
      <c r="J85">
        <f>装備閲覧!O85</f>
        <v>0</v>
      </c>
      <c r="K85">
        <f>装備閲覧!P85</f>
        <v>0</v>
      </c>
      <c r="L85">
        <f>装備閲覧!R85</f>
        <v>1</v>
      </c>
      <c r="M85">
        <f>装備閲覧!S85</f>
        <v>0</v>
      </c>
      <c r="N85" t="str">
        <f>装備閲覧!T85</f>
        <v>無</v>
      </c>
      <c r="O85">
        <f>装備閲覧!AA85</f>
        <v>0</v>
      </c>
      <c r="P85" s="1" t="str">
        <f>IFERROR(IFERROR(VLOOKUP(C85,改修!A:B,2,0),_xlfn.NUMBERVALUE(VLOOKUP(C85,特殊改修値!C:D,2,0))),"×")</f>
        <v>×</v>
      </c>
      <c r="Q85" t="str">
        <f>IFERROR(VLOOKUP(C85,装備ボーナス!B:C,2,0),"×")</f>
        <v>×</v>
      </c>
      <c r="R85" t="str">
        <f>VLOOKUP(A85,wikiName!A:B,2,0)</f>
        <v>2cm 四連装FlaK 38</v>
      </c>
    </row>
    <row r="86" spans="1:18" x14ac:dyDescent="0.4">
      <c r="A86">
        <f>装備閲覧!B86</f>
        <v>85</v>
      </c>
      <c r="B86" t="str">
        <f>装備閲覧!C86</f>
        <v>対空機銃</v>
      </c>
      <c r="C86" t="str">
        <f>装備閲覧!D86</f>
        <v>3.7cm FlaK M42</v>
      </c>
      <c r="D86">
        <f>装備閲覧!H86</f>
        <v>15</v>
      </c>
      <c r="E86">
        <f>装備閲覧!J86</f>
        <v>1</v>
      </c>
      <c r="F86">
        <f>装備閲覧!K86</f>
        <v>0</v>
      </c>
      <c r="G86">
        <f>装備閲覧!L86</f>
        <v>8</v>
      </c>
      <c r="H86">
        <f>装備閲覧!M86</f>
        <v>0</v>
      </c>
      <c r="I86">
        <f>装備閲覧!N86</f>
        <v>0</v>
      </c>
      <c r="J86">
        <f>装備閲覧!O86</f>
        <v>0</v>
      </c>
      <c r="K86">
        <f>装備閲覧!P86</f>
        <v>0</v>
      </c>
      <c r="L86">
        <f>装備閲覧!R86</f>
        <v>1</v>
      </c>
      <c r="M86">
        <f>装備閲覧!S86</f>
        <v>0</v>
      </c>
      <c r="N86" t="str">
        <f>装備閲覧!T86</f>
        <v>無</v>
      </c>
      <c r="O86">
        <f>装備閲覧!AA86</f>
        <v>0</v>
      </c>
      <c r="P86" s="1" t="str">
        <f>IFERROR(IFERROR(VLOOKUP(C86,改修!A:B,2,0),_xlfn.NUMBERVALUE(VLOOKUP(C86,特殊改修値!C:D,2,0))),"×")</f>
        <v>×</v>
      </c>
      <c r="Q86" t="str">
        <f>IFERROR(VLOOKUP(C86,装備ボーナス!B:C,2,0),"×")</f>
        <v>×</v>
      </c>
      <c r="R86" t="str">
        <f>VLOOKUP(A86,wikiName!A:B,2,0)</f>
        <v>3.7cm FlaK M42</v>
      </c>
    </row>
    <row r="87" spans="1:18" x14ac:dyDescent="0.4">
      <c r="A87">
        <f>装備閲覧!B87</f>
        <v>86</v>
      </c>
      <c r="B87" t="str">
        <f>装備閲覧!C87</f>
        <v>艦艇修理施設</v>
      </c>
      <c r="C87" t="str">
        <f>装備閲覧!D87</f>
        <v>艦艇修理施設</v>
      </c>
      <c r="D87">
        <f>装備閲覧!H87</f>
        <v>26</v>
      </c>
      <c r="E87">
        <f>装備閲覧!J87</f>
        <v>0</v>
      </c>
      <c r="F87">
        <f>装備閲覧!K87</f>
        <v>0</v>
      </c>
      <c r="G87">
        <f>装備閲覧!L87</f>
        <v>0</v>
      </c>
      <c r="H87">
        <f>装備閲覧!M87</f>
        <v>0</v>
      </c>
      <c r="I87">
        <f>装備閲覧!N87</f>
        <v>0</v>
      </c>
      <c r="J87">
        <f>装備閲覧!O87</f>
        <v>0</v>
      </c>
      <c r="K87">
        <f>装備閲覧!P87</f>
        <v>0</v>
      </c>
      <c r="L87">
        <f>装備閲覧!R87</f>
        <v>0</v>
      </c>
      <c r="M87">
        <f>装備閲覧!S87</f>
        <v>0</v>
      </c>
      <c r="N87" t="str">
        <f>装備閲覧!T87</f>
        <v>無</v>
      </c>
      <c r="O87">
        <f>装備閲覧!AA87</f>
        <v>0</v>
      </c>
      <c r="P87" s="1" t="str">
        <f>IFERROR(IFERROR(VLOOKUP(C87,改修!A:B,2,0),_xlfn.NUMBERVALUE(VLOOKUP(C87,特殊改修値!C:D,2,0))),"×")</f>
        <v>×</v>
      </c>
      <c r="Q87" t="str">
        <f>IFERROR(VLOOKUP(C87,装備ボーナス!B:C,2,0),"×")</f>
        <v>×</v>
      </c>
      <c r="R87" t="str">
        <f>VLOOKUP(A87,wikiName!A:B,2,0)</f>
        <v>艦艇修理施設</v>
      </c>
    </row>
    <row r="88" spans="1:18" x14ac:dyDescent="0.4">
      <c r="A88">
        <f>装備閲覧!B88</f>
        <v>87</v>
      </c>
      <c r="B88" t="str">
        <f>装備閲覧!C88</f>
        <v>機関部強化</v>
      </c>
      <c r="C88" t="str">
        <f>装備閲覧!D88</f>
        <v>新型高温高圧缶</v>
      </c>
      <c r="D88">
        <f>装備閲覧!H88</f>
        <v>19</v>
      </c>
      <c r="E88">
        <f>装備閲覧!J88</f>
        <v>0</v>
      </c>
      <c r="F88">
        <f>装備閲覧!K88</f>
        <v>0</v>
      </c>
      <c r="G88">
        <f>装備閲覧!L88</f>
        <v>0</v>
      </c>
      <c r="H88">
        <f>装備閲覧!M88</f>
        <v>0</v>
      </c>
      <c r="I88">
        <f>装備閲覧!N88</f>
        <v>0</v>
      </c>
      <c r="J88">
        <f>装備閲覧!O88</f>
        <v>13</v>
      </c>
      <c r="K88">
        <f>装備閲覧!P88</f>
        <v>0</v>
      </c>
      <c r="L88">
        <f>装備閲覧!R88</f>
        <v>0</v>
      </c>
      <c r="M88">
        <f>装備閲覧!S88</f>
        <v>0</v>
      </c>
      <c r="N88" t="str">
        <f>装備閲覧!T88</f>
        <v>無</v>
      </c>
      <c r="O88">
        <f>装備閲覧!AA88</f>
        <v>0</v>
      </c>
      <c r="P88" s="1" t="str">
        <f>IFERROR(IFERROR(VLOOKUP(C88,改修!A:B,2,0),_xlfn.NUMBERVALUE(VLOOKUP(C88,特殊改修値!C:D,2,0))),"×")</f>
        <v>〇</v>
      </c>
      <c r="Q88" t="str">
        <f>IFERROR(VLOOKUP(C88,装備ボーナス!B:C,2,0),"×")</f>
        <v>〇</v>
      </c>
      <c r="R88" t="str">
        <f>VLOOKUP(A88,wikiName!A:B,2,0)</f>
        <v>新型高温高圧缶</v>
      </c>
    </row>
    <row r="89" spans="1:18" x14ac:dyDescent="0.4">
      <c r="A89">
        <f>装備閲覧!B89</f>
        <v>88</v>
      </c>
      <c r="B89" t="str">
        <f>装備閲覧!C89</f>
        <v>小型電探</v>
      </c>
      <c r="C89" t="str">
        <f>装備閲覧!D89</f>
        <v>22号対水上電探改四</v>
      </c>
      <c r="D89">
        <f>装備閲覧!H89</f>
        <v>11</v>
      </c>
      <c r="E89">
        <f>装備閲覧!J89</f>
        <v>0</v>
      </c>
      <c r="F89">
        <f>装備閲覧!K89</f>
        <v>0</v>
      </c>
      <c r="G89">
        <f>装備閲覧!L89</f>
        <v>0</v>
      </c>
      <c r="H89">
        <f>装備閲覧!M89</f>
        <v>0</v>
      </c>
      <c r="I89">
        <f>装備閲覧!N89</f>
        <v>2</v>
      </c>
      <c r="J89">
        <f>装備閲覧!O89</f>
        <v>0</v>
      </c>
      <c r="K89">
        <f>装備閲覧!P89</f>
        <v>5</v>
      </c>
      <c r="L89">
        <f>装備閲覧!R89</f>
        <v>8</v>
      </c>
      <c r="M89">
        <f>装備閲覧!S89</f>
        <v>0</v>
      </c>
      <c r="N89" t="str">
        <f>装備閲覧!T89</f>
        <v>無</v>
      </c>
      <c r="O89">
        <f>装備閲覧!AA89</f>
        <v>0</v>
      </c>
      <c r="P89" s="1" t="str">
        <f>IFERROR(IFERROR(VLOOKUP(C89,改修!A:B,2,0),_xlfn.NUMBERVALUE(VLOOKUP(C89,特殊改修値!C:D,2,0))),"×")</f>
        <v>〇</v>
      </c>
      <c r="Q89" t="str">
        <f>IFERROR(VLOOKUP(C89,装備ボーナス!B:C,2,0),"×")</f>
        <v>×</v>
      </c>
      <c r="R89" t="str">
        <f>VLOOKUP(A89,wikiName!A:B,2,0)</f>
        <v>22号対水上電探改四</v>
      </c>
    </row>
    <row r="90" spans="1:18" x14ac:dyDescent="0.4">
      <c r="A90">
        <f>装備閲覧!B90</f>
        <v>89</v>
      </c>
      <c r="B90" t="str">
        <f>装備閲覧!C90</f>
        <v>大型電探</v>
      </c>
      <c r="C90" t="str">
        <f>装備閲覧!D90</f>
        <v>21号対空電探改</v>
      </c>
      <c r="D90">
        <f>装備閲覧!H90</f>
        <v>11</v>
      </c>
      <c r="E90">
        <f>装備閲覧!J90</f>
        <v>0</v>
      </c>
      <c r="F90">
        <f>装備閲覧!K90</f>
        <v>0</v>
      </c>
      <c r="G90">
        <f>装備閲覧!L90</f>
        <v>5</v>
      </c>
      <c r="H90">
        <f>装備閲覧!M90</f>
        <v>0</v>
      </c>
      <c r="I90">
        <f>装備閲覧!N90</f>
        <v>0</v>
      </c>
      <c r="J90">
        <f>装備閲覧!O90</f>
        <v>1</v>
      </c>
      <c r="K90">
        <f>装備閲覧!P90</f>
        <v>6</v>
      </c>
      <c r="L90">
        <f>装備閲覧!R90</f>
        <v>3</v>
      </c>
      <c r="M90">
        <f>装備閲覧!S90</f>
        <v>0</v>
      </c>
      <c r="N90" t="str">
        <f>装備閲覧!T90</f>
        <v>無</v>
      </c>
      <c r="O90">
        <f>装備閲覧!AA90</f>
        <v>0</v>
      </c>
      <c r="P90" s="1" t="str">
        <f>IFERROR(IFERROR(VLOOKUP(C90,改修!A:B,2,0),_xlfn.NUMBERVALUE(VLOOKUP(C90,特殊改修値!C:D,2,0))),"×")</f>
        <v>〇</v>
      </c>
      <c r="Q90" t="str">
        <f>IFERROR(VLOOKUP(C90,装備ボーナス!B:C,2,0),"×")</f>
        <v>×</v>
      </c>
      <c r="R90" t="str">
        <f>VLOOKUP(A90,wikiName!A:B,2,0)</f>
        <v>21号対空電探改</v>
      </c>
    </row>
    <row r="91" spans="1:18" x14ac:dyDescent="0.4">
      <c r="A91">
        <f>装備閲覧!B91</f>
        <v>90</v>
      </c>
      <c r="B91" t="str">
        <f>装備閲覧!C91</f>
        <v>中口径主砲</v>
      </c>
      <c r="C91" t="str">
        <f>装備閲覧!D91</f>
        <v>20.3cm(2号)連装砲</v>
      </c>
      <c r="D91">
        <f>装備閲覧!H91</f>
        <v>2</v>
      </c>
      <c r="E91">
        <f>装備閲覧!J91</f>
        <v>9</v>
      </c>
      <c r="F91">
        <f>装備閲覧!K91</f>
        <v>0</v>
      </c>
      <c r="G91">
        <f>装備閲覧!L91</f>
        <v>3</v>
      </c>
      <c r="H91">
        <f>装備閲覧!M91</f>
        <v>0</v>
      </c>
      <c r="I91">
        <f>装備閲覧!N91</f>
        <v>0</v>
      </c>
      <c r="J91">
        <f>装備閲覧!O91</f>
        <v>0</v>
      </c>
      <c r="K91">
        <f>装備閲覧!P91</f>
        <v>0</v>
      </c>
      <c r="L91">
        <f>装備閲覧!R91</f>
        <v>1</v>
      </c>
      <c r="M91">
        <f>装備閲覧!S91</f>
        <v>0</v>
      </c>
      <c r="N91" t="str">
        <f>装備閲覧!T91</f>
        <v>中</v>
      </c>
      <c r="O91">
        <f>装備閲覧!AA91</f>
        <v>0</v>
      </c>
      <c r="P91" s="1" t="str">
        <f>IFERROR(IFERROR(VLOOKUP(C91,改修!A:B,2,0),_xlfn.NUMBERVALUE(VLOOKUP(C91,特殊改修値!C:D,2,0))),"×")</f>
        <v>〇</v>
      </c>
      <c r="Q91" t="str">
        <f>IFERROR(VLOOKUP(C91,装備ボーナス!B:C,2,0),"×")</f>
        <v>〇</v>
      </c>
      <c r="R91" t="str">
        <f>VLOOKUP(A91,wikiName!A:B,2,0)</f>
        <v>20.3cm(2号)連装砲</v>
      </c>
    </row>
    <row r="92" spans="1:18" x14ac:dyDescent="0.4">
      <c r="A92">
        <f>装備閲覧!B92</f>
        <v>91</v>
      </c>
      <c r="B92" t="str">
        <f>装備閲覧!C92</f>
        <v>小口径主砲</v>
      </c>
      <c r="C92" t="str">
        <f>装備閲覧!D92</f>
        <v>12.7cm連装高角砲(後期型)</v>
      </c>
      <c r="D92">
        <f>装備閲覧!H92</f>
        <v>16</v>
      </c>
      <c r="E92">
        <f>装備閲覧!J92</f>
        <v>2</v>
      </c>
      <c r="F92">
        <f>装備閲覧!K92</f>
        <v>0</v>
      </c>
      <c r="G92">
        <f>装備閲覧!L92</f>
        <v>5</v>
      </c>
      <c r="H92">
        <f>装備閲覧!M92</f>
        <v>0</v>
      </c>
      <c r="I92">
        <f>装備閲覧!N92</f>
        <v>1</v>
      </c>
      <c r="J92">
        <f>装備閲覧!O92</f>
        <v>1</v>
      </c>
      <c r="K92">
        <f>装備閲覧!P92</f>
        <v>0</v>
      </c>
      <c r="L92">
        <f>装備閲覧!R92</f>
        <v>1</v>
      </c>
      <c r="M92">
        <f>装備閲覧!S92</f>
        <v>0</v>
      </c>
      <c r="N92" t="str">
        <f>装備閲覧!T92</f>
        <v>短</v>
      </c>
      <c r="O92">
        <f>装備閲覧!AA92</f>
        <v>0</v>
      </c>
      <c r="P92" s="1" t="str">
        <f>IFERROR(IFERROR(VLOOKUP(C92,改修!A:B,2,0),_xlfn.NUMBERVALUE(VLOOKUP(C92,特殊改修値!C:D,2,0))),"×")</f>
        <v>〇</v>
      </c>
      <c r="Q92" t="str">
        <f>IFERROR(VLOOKUP(C92,装備ボーナス!B:C,2,0),"×")</f>
        <v>×</v>
      </c>
      <c r="R92" t="str">
        <f>VLOOKUP(A92,wikiName!A:B,2,0)</f>
        <v>12.7cm連装高角砲(後期型)</v>
      </c>
    </row>
    <row r="93" spans="1:18" x14ac:dyDescent="0.4">
      <c r="A93">
        <f>装備閲覧!B93</f>
        <v>92</v>
      </c>
      <c r="B93" t="str">
        <f>装備閲覧!C93</f>
        <v>対空機銃</v>
      </c>
      <c r="C93" t="str">
        <f>装備閲覧!D93</f>
        <v>毘式40mm連装機銃</v>
      </c>
      <c r="D93">
        <f>装備閲覧!H93</f>
        <v>15</v>
      </c>
      <c r="E93">
        <f>装備閲覧!J93</f>
        <v>0</v>
      </c>
      <c r="F93">
        <f>装備閲覧!K93</f>
        <v>0</v>
      </c>
      <c r="G93">
        <f>装備閲覧!L93</f>
        <v>6</v>
      </c>
      <c r="H93">
        <f>装備閲覧!M93</f>
        <v>0</v>
      </c>
      <c r="I93">
        <f>装備閲覧!N93</f>
        <v>0</v>
      </c>
      <c r="J93">
        <f>装備閲覧!O93</f>
        <v>1</v>
      </c>
      <c r="K93">
        <f>装備閲覧!P93</f>
        <v>0</v>
      </c>
      <c r="L93">
        <f>装備閲覧!R93</f>
        <v>0</v>
      </c>
      <c r="M93">
        <f>装備閲覧!S93</f>
        <v>0</v>
      </c>
      <c r="N93" t="str">
        <f>装備閲覧!T93</f>
        <v>無</v>
      </c>
      <c r="O93">
        <f>装備閲覧!AA93</f>
        <v>0</v>
      </c>
      <c r="P93" s="1" t="str">
        <f>IFERROR(IFERROR(VLOOKUP(C93,改修!A:B,2,0),_xlfn.NUMBERVALUE(VLOOKUP(C93,特殊改修値!C:D,2,0))),"×")</f>
        <v>×</v>
      </c>
      <c r="Q93" t="str">
        <f>IFERROR(VLOOKUP(C93,装備ボーナス!B:C,2,0),"×")</f>
        <v>×</v>
      </c>
      <c r="R93" t="str">
        <f>VLOOKUP(A93,wikiName!A:B,2,0)</f>
        <v>毘式40mm連装機銃</v>
      </c>
    </row>
    <row r="94" spans="1:18" x14ac:dyDescent="0.4">
      <c r="A94">
        <f>装備閲覧!B94</f>
        <v>93</v>
      </c>
      <c r="B94" t="str">
        <f>装備閲覧!C94</f>
        <v>艦上攻撃機</v>
      </c>
      <c r="C94" t="str">
        <f>装備閲覧!D94</f>
        <v>九七式艦攻(友永隊)</v>
      </c>
      <c r="D94">
        <f>装備閲覧!H94</f>
        <v>8</v>
      </c>
      <c r="E94">
        <f>装備閲覧!J94</f>
        <v>0</v>
      </c>
      <c r="F94">
        <f>装備閲覧!K94</f>
        <v>11</v>
      </c>
      <c r="G94">
        <f>装備閲覧!L94</f>
        <v>1</v>
      </c>
      <c r="H94">
        <f>装備閲覧!M94</f>
        <v>0</v>
      </c>
      <c r="I94">
        <f>装備閲覧!N94</f>
        <v>5</v>
      </c>
      <c r="J94">
        <f>装備閲覧!O94</f>
        <v>0</v>
      </c>
      <c r="K94">
        <f>装備閲覧!P94</f>
        <v>4</v>
      </c>
      <c r="L94">
        <f>装備閲覧!R94</f>
        <v>3</v>
      </c>
      <c r="M94">
        <f>装備閲覧!S94</f>
        <v>0</v>
      </c>
      <c r="N94" t="str">
        <f>装備閲覧!T94</f>
        <v>無</v>
      </c>
      <c r="O94">
        <f>装備閲覧!AA94</f>
        <v>4</v>
      </c>
      <c r="P94" s="1" t="str">
        <f>IFERROR(IFERROR(VLOOKUP(C94,改修!A:B,2,0),_xlfn.NUMBERVALUE(VLOOKUP(C94,特殊改修値!C:D,2,0))),"×")</f>
        <v>〇</v>
      </c>
      <c r="Q94" t="str">
        <f>IFERROR(VLOOKUP(C94,装備ボーナス!B:C,2,0),"×")</f>
        <v>〇</v>
      </c>
      <c r="R94" t="str">
        <f>VLOOKUP(A94,wikiName!A:B,2,0)</f>
        <v>九七式艦攻(友永隊)</v>
      </c>
    </row>
    <row r="95" spans="1:18" x14ac:dyDescent="0.4">
      <c r="A95">
        <f>装備閲覧!B95</f>
        <v>94</v>
      </c>
      <c r="B95" t="str">
        <f>装備閲覧!C95</f>
        <v>艦上攻撃機</v>
      </c>
      <c r="C95" t="str">
        <f>装備閲覧!D95</f>
        <v>天山一二型(友永隊)</v>
      </c>
      <c r="D95">
        <f>装備閲覧!H95</f>
        <v>8</v>
      </c>
      <c r="E95">
        <f>装備閲覧!J95</f>
        <v>0</v>
      </c>
      <c r="F95">
        <f>装備閲覧!K95</f>
        <v>14</v>
      </c>
      <c r="G95">
        <f>装備閲覧!L95</f>
        <v>1</v>
      </c>
      <c r="H95">
        <f>装備閲覧!M95</f>
        <v>0</v>
      </c>
      <c r="I95">
        <f>装備閲覧!N95</f>
        <v>6</v>
      </c>
      <c r="J95">
        <f>装備閲覧!O95</f>
        <v>0</v>
      </c>
      <c r="K95">
        <f>装備閲覧!P95</f>
        <v>5</v>
      </c>
      <c r="L95">
        <f>装備閲覧!R95</f>
        <v>3</v>
      </c>
      <c r="M95">
        <f>装備閲覧!S95</f>
        <v>0</v>
      </c>
      <c r="N95" t="str">
        <f>装備閲覧!T95</f>
        <v>無</v>
      </c>
      <c r="O95">
        <f>装備閲覧!AA95</f>
        <v>5</v>
      </c>
      <c r="P95" s="1">
        <f>IFERROR(IFERROR(VLOOKUP(C95,改修!A:B,2,0),_xlfn.NUMBERVALUE(VLOOKUP(C95,特殊改修値!C:D,2,0))),"×")</f>
        <v>10</v>
      </c>
      <c r="Q95" t="str">
        <f>IFERROR(VLOOKUP(C95,装備ボーナス!B:C,2,0),"×")</f>
        <v>〇</v>
      </c>
      <c r="R95" t="str">
        <f>VLOOKUP(A95,wikiName!A:B,2,0)</f>
        <v>天山一二型(友永隊)</v>
      </c>
    </row>
    <row r="96" spans="1:18" x14ac:dyDescent="0.4">
      <c r="A96">
        <f>装備閲覧!B96</f>
        <v>95</v>
      </c>
      <c r="B96" t="str">
        <f>装備閲覧!C96</f>
        <v>潜水艦魚雷</v>
      </c>
      <c r="C96" t="str">
        <f>装備閲覧!D96</f>
        <v>潜水艦53cm艦首魚雷(8門)</v>
      </c>
      <c r="D96">
        <f>装備閲覧!H96</f>
        <v>5</v>
      </c>
      <c r="E96">
        <f>装備閲覧!J96</f>
        <v>0</v>
      </c>
      <c r="F96">
        <f>装備閲覧!K96</f>
        <v>16</v>
      </c>
      <c r="G96">
        <f>装備閲覧!L96</f>
        <v>0</v>
      </c>
      <c r="H96">
        <f>装備閲覧!M96</f>
        <v>0</v>
      </c>
      <c r="I96">
        <f>装備閲覧!N96</f>
        <v>0</v>
      </c>
      <c r="J96">
        <f>装備閲覧!O96</f>
        <v>0</v>
      </c>
      <c r="K96">
        <f>装備閲覧!P96</f>
        <v>0</v>
      </c>
      <c r="L96">
        <f>装備閲覧!R96</f>
        <v>3</v>
      </c>
      <c r="M96">
        <f>装備閲覧!S96</f>
        <v>0</v>
      </c>
      <c r="N96" t="str">
        <f>装備閲覧!T96</f>
        <v>短</v>
      </c>
      <c r="O96">
        <f>装備閲覧!AA96</f>
        <v>0</v>
      </c>
      <c r="P96" s="1" t="str">
        <f>IFERROR(IFERROR(VLOOKUP(C96,改修!A:B,2,0),_xlfn.NUMBERVALUE(VLOOKUP(C96,特殊改修値!C:D,2,0))),"×")</f>
        <v>×</v>
      </c>
      <c r="Q96" t="str">
        <f>IFERROR(VLOOKUP(C96,装備ボーナス!B:C,2,0),"×")</f>
        <v>×</v>
      </c>
      <c r="R96" t="str">
        <f>VLOOKUP(A96,wikiName!A:B,2,0)</f>
        <v>潜水艦53cm艦首魚雷(8門)</v>
      </c>
    </row>
    <row r="97" spans="1:18" x14ac:dyDescent="0.4">
      <c r="A97">
        <f>装備閲覧!B97</f>
        <v>96</v>
      </c>
      <c r="B97" t="str">
        <f>装備閲覧!C97</f>
        <v>艦上戦闘機</v>
      </c>
      <c r="C97" t="str">
        <f>装備閲覧!D97</f>
        <v>零式艦戦21型(熟練)</v>
      </c>
      <c r="D97">
        <f>装備閲覧!H97</f>
        <v>6</v>
      </c>
      <c r="E97">
        <f>装備閲覧!J97</f>
        <v>0</v>
      </c>
      <c r="F97">
        <f>装備閲覧!K97</f>
        <v>0</v>
      </c>
      <c r="G97">
        <f>装備閲覧!L97</f>
        <v>8</v>
      </c>
      <c r="H97">
        <f>装備閲覧!M97</f>
        <v>0</v>
      </c>
      <c r="I97">
        <f>装備閲覧!N97</f>
        <v>0</v>
      </c>
      <c r="J97">
        <f>装備閲覧!O97</f>
        <v>2</v>
      </c>
      <c r="K97">
        <f>装備閲覧!P97</f>
        <v>1</v>
      </c>
      <c r="L97">
        <f>装備閲覧!R97</f>
        <v>2</v>
      </c>
      <c r="M97">
        <f>装備閲覧!S97</f>
        <v>0</v>
      </c>
      <c r="N97" t="str">
        <f>装備閲覧!T97</f>
        <v>無</v>
      </c>
      <c r="O97">
        <f>装備閲覧!AA97</f>
        <v>7</v>
      </c>
      <c r="P97" s="1" t="str">
        <f>IFERROR(IFERROR(VLOOKUP(C97,改修!A:B,2,0),_xlfn.NUMBERVALUE(VLOOKUP(C97,特殊改修値!C:D,2,0))),"×")</f>
        <v>〇</v>
      </c>
      <c r="Q97" t="str">
        <f>IFERROR(VLOOKUP(C97,装備ボーナス!B:C,2,0),"×")</f>
        <v>×</v>
      </c>
      <c r="R97" t="str">
        <f>VLOOKUP(A97,wikiName!A:B,2,0)</f>
        <v>零式艦戦21型(熟練)</v>
      </c>
    </row>
    <row r="98" spans="1:18" x14ac:dyDescent="0.4">
      <c r="A98">
        <f>装備閲覧!B98</f>
        <v>97</v>
      </c>
      <c r="B98" t="str">
        <f>装備閲覧!C98</f>
        <v>艦上爆撃機</v>
      </c>
      <c r="C98" t="str">
        <f>装備閲覧!D98</f>
        <v>九九式艦爆(熟練)</v>
      </c>
      <c r="D98">
        <f>装備閲覧!H98</f>
        <v>7</v>
      </c>
      <c r="E98">
        <f>装備閲覧!J98</f>
        <v>0</v>
      </c>
      <c r="F98">
        <f>装備閲覧!K98</f>
        <v>0</v>
      </c>
      <c r="G98">
        <f>装備閲覧!L98</f>
        <v>1</v>
      </c>
      <c r="H98">
        <f>装備閲覧!M98</f>
        <v>0</v>
      </c>
      <c r="I98">
        <f>装備閲覧!N98</f>
        <v>4</v>
      </c>
      <c r="J98">
        <f>装備閲覧!O98</f>
        <v>0</v>
      </c>
      <c r="K98">
        <f>装備閲覧!P98</f>
        <v>2</v>
      </c>
      <c r="L98">
        <f>装備閲覧!R98</f>
        <v>2</v>
      </c>
      <c r="M98">
        <f>装備閲覧!S98</f>
        <v>7</v>
      </c>
      <c r="N98" t="str">
        <f>装備閲覧!T98</f>
        <v>無</v>
      </c>
      <c r="O98">
        <f>装備閲覧!AA98</f>
        <v>4</v>
      </c>
      <c r="P98" s="1" t="str">
        <f>IFERROR(IFERROR(VLOOKUP(C98,改修!A:B,2,0),_xlfn.NUMBERVALUE(VLOOKUP(C98,特殊改修値!C:D,2,0))),"×")</f>
        <v>×</v>
      </c>
      <c r="Q98" t="str">
        <f>IFERROR(VLOOKUP(C98,装備ボーナス!B:C,2,0),"×")</f>
        <v>×</v>
      </c>
      <c r="R98" t="str">
        <f>VLOOKUP(A98,wikiName!A:B,2,0)</f>
        <v>九九式艦爆(熟練)</v>
      </c>
    </row>
    <row r="99" spans="1:18" x14ac:dyDescent="0.4">
      <c r="A99">
        <f>装備閲覧!B99</f>
        <v>98</v>
      </c>
      <c r="B99" t="str">
        <f>装備閲覧!C99</f>
        <v>艦上攻撃機</v>
      </c>
      <c r="C99" t="str">
        <f>装備閲覧!D99</f>
        <v>九七式艦攻(熟練)</v>
      </c>
      <c r="D99">
        <f>装備閲覧!H99</f>
        <v>8</v>
      </c>
      <c r="E99">
        <f>装備閲覧!J99</f>
        <v>0</v>
      </c>
      <c r="F99">
        <f>装備閲覧!K99</f>
        <v>8</v>
      </c>
      <c r="G99">
        <f>装備閲覧!L99</f>
        <v>0</v>
      </c>
      <c r="H99">
        <f>装備閲覧!M99</f>
        <v>0</v>
      </c>
      <c r="I99">
        <f>装備閲覧!N99</f>
        <v>5</v>
      </c>
      <c r="J99">
        <f>装備閲覧!O99</f>
        <v>0</v>
      </c>
      <c r="K99">
        <f>装備閲覧!P99</f>
        <v>2</v>
      </c>
      <c r="L99">
        <f>装備閲覧!R99</f>
        <v>2</v>
      </c>
      <c r="M99">
        <f>装備閲覧!S99</f>
        <v>0</v>
      </c>
      <c r="N99" t="str">
        <f>装備閲覧!T99</f>
        <v>無</v>
      </c>
      <c r="O99">
        <f>装備閲覧!AA99</f>
        <v>4</v>
      </c>
      <c r="P99" s="1" t="str">
        <f>IFERROR(IFERROR(VLOOKUP(C99,改修!A:B,2,0),_xlfn.NUMBERVALUE(VLOOKUP(C99,特殊改修値!C:D,2,0))),"×")</f>
        <v>×</v>
      </c>
      <c r="Q99" t="str">
        <f>IFERROR(VLOOKUP(C99,装備ボーナス!B:C,2,0),"×")</f>
        <v>×</v>
      </c>
      <c r="R99" t="str">
        <f>VLOOKUP(A99,wikiName!A:B,2,0)</f>
        <v>九七式艦攻(熟練)</v>
      </c>
    </row>
    <row r="100" spans="1:18" x14ac:dyDescent="0.4">
      <c r="A100">
        <f>装備閲覧!B100</f>
        <v>99</v>
      </c>
      <c r="B100" t="str">
        <f>装備閲覧!C100</f>
        <v>艦上爆撃機</v>
      </c>
      <c r="C100" t="str">
        <f>装備閲覧!D100</f>
        <v>九九式艦爆(江草隊)</v>
      </c>
      <c r="D100">
        <f>装備閲覧!H100</f>
        <v>7</v>
      </c>
      <c r="E100">
        <f>装備閲覧!J100</f>
        <v>0</v>
      </c>
      <c r="F100">
        <f>装備閲覧!K100</f>
        <v>0</v>
      </c>
      <c r="G100">
        <f>装備閲覧!L100</f>
        <v>0</v>
      </c>
      <c r="H100">
        <f>装備閲覧!M100</f>
        <v>0</v>
      </c>
      <c r="I100">
        <f>装備閲覧!N100</f>
        <v>5</v>
      </c>
      <c r="J100">
        <f>装備閲覧!O100</f>
        <v>0</v>
      </c>
      <c r="K100">
        <f>装備閲覧!P100</f>
        <v>3</v>
      </c>
      <c r="L100">
        <f>装備閲覧!R100</f>
        <v>4</v>
      </c>
      <c r="M100">
        <f>装備閲覧!S100</f>
        <v>10</v>
      </c>
      <c r="N100" t="str">
        <f>装備閲覧!T100</f>
        <v>無</v>
      </c>
      <c r="O100">
        <f>装備閲覧!AA100</f>
        <v>4</v>
      </c>
      <c r="P100" s="1" t="str">
        <f>IFERROR(IFERROR(VLOOKUP(C100,改修!A:B,2,0),_xlfn.NUMBERVALUE(VLOOKUP(C100,特殊改修値!C:D,2,0))),"×")</f>
        <v>×</v>
      </c>
      <c r="Q100" t="str">
        <f>IFERROR(VLOOKUP(C100,装備ボーナス!B:C,2,0),"×")</f>
        <v>〇</v>
      </c>
      <c r="R100" t="str">
        <f>VLOOKUP(A100,wikiName!A:B,2,0)</f>
        <v>九九式艦爆(江草隊)</v>
      </c>
    </row>
    <row r="101" spans="1:18" x14ac:dyDescent="0.4">
      <c r="A101">
        <f>装備閲覧!B101</f>
        <v>100</v>
      </c>
      <c r="B101" t="str">
        <f>装備閲覧!C101</f>
        <v>艦上爆撃機</v>
      </c>
      <c r="C101" t="str">
        <f>装備閲覧!D101</f>
        <v>彗星(江草隊)</v>
      </c>
      <c r="D101">
        <f>装備閲覧!H101</f>
        <v>7</v>
      </c>
      <c r="E101">
        <f>装備閲覧!J101</f>
        <v>0</v>
      </c>
      <c r="F101">
        <f>装備閲覧!K101</f>
        <v>0</v>
      </c>
      <c r="G101">
        <f>装備閲覧!L101</f>
        <v>1</v>
      </c>
      <c r="H101">
        <f>装備閲覧!M101</f>
        <v>0</v>
      </c>
      <c r="I101">
        <f>装備閲覧!N101</f>
        <v>5</v>
      </c>
      <c r="J101">
        <f>装備閲覧!O101</f>
        <v>0</v>
      </c>
      <c r="K101">
        <f>装備閲覧!P101</f>
        <v>4</v>
      </c>
      <c r="L101">
        <f>装備閲覧!R101</f>
        <v>4</v>
      </c>
      <c r="M101">
        <f>装備閲覧!S101</f>
        <v>13</v>
      </c>
      <c r="N101" t="str">
        <f>装備閲覧!T101</f>
        <v>無</v>
      </c>
      <c r="O101">
        <f>装備閲覧!AA101</f>
        <v>5</v>
      </c>
      <c r="P101" s="1">
        <f>IFERROR(IFERROR(VLOOKUP(C101,改修!A:B,2,0),_xlfn.NUMBERVALUE(VLOOKUP(C101,特殊改修値!C:D,2,0))),"×")</f>
        <v>10</v>
      </c>
      <c r="Q101" t="str">
        <f>IFERROR(VLOOKUP(C101,装備ボーナス!B:C,2,0),"×")</f>
        <v>〇</v>
      </c>
      <c r="R101" t="str">
        <f>VLOOKUP(A101,wikiName!A:B,2,0)</f>
        <v>彗星(江草隊)</v>
      </c>
    </row>
    <row r="102" spans="1:18" x14ac:dyDescent="0.4">
      <c r="A102">
        <f>装備閲覧!B102</f>
        <v>101</v>
      </c>
      <c r="B102" t="str">
        <f>装備閲覧!C102</f>
        <v>照明弾</v>
      </c>
      <c r="C102" t="str">
        <f>装備閲覧!D102</f>
        <v>照明弾</v>
      </c>
      <c r="D102">
        <f>装備閲覧!H102</f>
        <v>27</v>
      </c>
      <c r="E102">
        <f>装備閲覧!J102</f>
        <v>0</v>
      </c>
      <c r="F102">
        <f>装備閲覧!K102</f>
        <v>0</v>
      </c>
      <c r="G102">
        <f>装備閲覧!L102</f>
        <v>0</v>
      </c>
      <c r="H102">
        <f>装備閲覧!M102</f>
        <v>0</v>
      </c>
      <c r="I102">
        <f>装備閲覧!N102</f>
        <v>0</v>
      </c>
      <c r="J102">
        <f>装備閲覧!O102</f>
        <v>0</v>
      </c>
      <c r="K102">
        <f>装備閲覧!P102</f>
        <v>0</v>
      </c>
      <c r="L102">
        <f>装備閲覧!R102</f>
        <v>0</v>
      </c>
      <c r="M102">
        <f>装備閲覧!S102</f>
        <v>0</v>
      </c>
      <c r="N102" t="str">
        <f>装備閲覧!T102</f>
        <v>無</v>
      </c>
      <c r="O102">
        <f>装備閲覧!AA102</f>
        <v>0</v>
      </c>
      <c r="P102" s="1" t="str">
        <f>IFERROR(IFERROR(VLOOKUP(C102,改修!A:B,2,0),_xlfn.NUMBERVALUE(VLOOKUP(C102,特殊改修値!C:D,2,0))),"×")</f>
        <v>×</v>
      </c>
      <c r="Q102" t="str">
        <f>IFERROR(VLOOKUP(C102,装備ボーナス!B:C,2,0),"×")</f>
        <v>×</v>
      </c>
      <c r="R102" t="str">
        <f>VLOOKUP(A102,wikiName!A:B,2,0)</f>
        <v>照明弾</v>
      </c>
    </row>
    <row r="103" spans="1:18" x14ac:dyDescent="0.4">
      <c r="A103">
        <f>装備閲覧!B103</f>
        <v>102</v>
      </c>
      <c r="B103" t="str">
        <f>装備閲覧!C103</f>
        <v>水上偵察機</v>
      </c>
      <c r="C103" t="str">
        <f>装備閲覧!D103</f>
        <v>九八式水上偵察機(夜偵)</v>
      </c>
      <c r="D103">
        <f>装備閲覧!H103</f>
        <v>10</v>
      </c>
      <c r="E103">
        <f>装備閲覧!J103</f>
        <v>0</v>
      </c>
      <c r="F103">
        <f>装備閲覧!K103</f>
        <v>0</v>
      </c>
      <c r="G103">
        <f>装備閲覧!L103</f>
        <v>0</v>
      </c>
      <c r="H103">
        <f>装備閲覧!M103</f>
        <v>0</v>
      </c>
      <c r="I103">
        <f>装備閲覧!N103</f>
        <v>1</v>
      </c>
      <c r="J103">
        <f>装備閲覧!O103</f>
        <v>0</v>
      </c>
      <c r="K103">
        <f>装備閲覧!P103</f>
        <v>3</v>
      </c>
      <c r="L103">
        <f>装備閲覧!R103</f>
        <v>1</v>
      </c>
      <c r="M103">
        <f>装備閲覧!S103</f>
        <v>0</v>
      </c>
      <c r="N103" t="str">
        <f>装備閲覧!T103</f>
        <v>無</v>
      </c>
      <c r="O103">
        <f>装備閲覧!AA103</f>
        <v>6</v>
      </c>
      <c r="P103" s="1" t="str">
        <f>IFERROR(IFERROR(VLOOKUP(C103,改修!A:B,2,0),_xlfn.NUMBERVALUE(VLOOKUP(C103,特殊改修値!C:D,2,0))),"×")</f>
        <v>〇</v>
      </c>
      <c r="Q103" t="str">
        <f>IFERROR(VLOOKUP(C103,装備ボーナス!B:C,2,0),"×")</f>
        <v>×</v>
      </c>
      <c r="R103" t="str">
        <f>VLOOKUP(A103,wikiName!A:B,2,0)</f>
        <v>九八式水上偵察機(夜偵)</v>
      </c>
    </row>
    <row r="104" spans="1:18" x14ac:dyDescent="0.4">
      <c r="A104">
        <f>装備閲覧!B104</f>
        <v>103</v>
      </c>
      <c r="B104" t="str">
        <f>装備閲覧!C104</f>
        <v>大口径主砲</v>
      </c>
      <c r="C104" t="str">
        <f>装備閲覧!D104</f>
        <v>試製35.6cm三連装砲</v>
      </c>
      <c r="D104">
        <f>装備閲覧!H104</f>
        <v>3</v>
      </c>
      <c r="E104">
        <f>装備閲覧!J104</f>
        <v>18</v>
      </c>
      <c r="F104">
        <f>装備閲覧!K104</f>
        <v>0</v>
      </c>
      <c r="G104">
        <f>装備閲覧!L104</f>
        <v>5</v>
      </c>
      <c r="H104">
        <f>装備閲覧!M104</f>
        <v>0</v>
      </c>
      <c r="I104">
        <f>装備閲覧!N104</f>
        <v>0</v>
      </c>
      <c r="J104">
        <f>装備閲覧!O104</f>
        <v>0</v>
      </c>
      <c r="K104">
        <f>装備閲覧!P104</f>
        <v>0</v>
      </c>
      <c r="L104">
        <f>装備閲覧!R104</f>
        <v>2</v>
      </c>
      <c r="M104">
        <f>装備閲覧!S104</f>
        <v>0</v>
      </c>
      <c r="N104" t="str">
        <f>装備閲覧!T104</f>
        <v>長</v>
      </c>
      <c r="O104">
        <f>装備閲覧!AA104</f>
        <v>0</v>
      </c>
      <c r="P104" s="1" t="str">
        <f>IFERROR(IFERROR(VLOOKUP(C104,改修!A:B,2,0),_xlfn.NUMBERVALUE(VLOOKUP(C104,特殊改修値!C:D,2,0))),"×")</f>
        <v>〇</v>
      </c>
      <c r="Q104" t="str">
        <f>IFERROR(VLOOKUP(C104,装備ボーナス!B:C,2,0),"×")</f>
        <v>×</v>
      </c>
      <c r="R104" t="str">
        <f>VLOOKUP(A104,wikiName!A:B,2,0)</f>
        <v>試製35.6cm三連装砲</v>
      </c>
    </row>
    <row r="105" spans="1:18" x14ac:dyDescent="0.4">
      <c r="A105">
        <f>装備閲覧!B105</f>
        <v>104</v>
      </c>
      <c r="B105" t="str">
        <f>装備閲覧!C105</f>
        <v>大口径主砲</v>
      </c>
      <c r="C105" t="str">
        <f>装備閲覧!D105</f>
        <v>35.6cm連装砲(ダズル迷彩)</v>
      </c>
      <c r="D105">
        <f>装備閲覧!H105</f>
        <v>3</v>
      </c>
      <c r="E105">
        <f>装備閲覧!J105</f>
        <v>15</v>
      </c>
      <c r="F105">
        <f>装備閲覧!K105</f>
        <v>0</v>
      </c>
      <c r="G105">
        <f>装備閲覧!L105</f>
        <v>5</v>
      </c>
      <c r="H105">
        <f>装備閲覧!M105</f>
        <v>0</v>
      </c>
      <c r="I105">
        <f>装備閲覧!N105</f>
        <v>0</v>
      </c>
      <c r="J105">
        <f>装備閲覧!O105</f>
        <v>1</v>
      </c>
      <c r="K105">
        <f>装備閲覧!P105</f>
        <v>0</v>
      </c>
      <c r="L105">
        <f>装備閲覧!R105</f>
        <v>1</v>
      </c>
      <c r="M105">
        <f>装備閲覧!S105</f>
        <v>0</v>
      </c>
      <c r="N105" t="str">
        <f>装備閲覧!T105</f>
        <v>長</v>
      </c>
      <c r="O105">
        <f>装備閲覧!AA105</f>
        <v>0</v>
      </c>
      <c r="P105" s="1" t="str">
        <f>IFERROR(IFERROR(VLOOKUP(C105,改修!A:B,2,0),_xlfn.NUMBERVALUE(VLOOKUP(C105,特殊改修値!C:D,2,0))),"×")</f>
        <v>〇</v>
      </c>
      <c r="Q105" t="str">
        <f>IFERROR(VLOOKUP(C105,装備ボーナス!B:C,2,0),"×")</f>
        <v>〇</v>
      </c>
      <c r="R105" t="str">
        <f>VLOOKUP(A105,wikiName!A:B,2,0)</f>
        <v>35.6cm連装砲(ダズル迷彩)</v>
      </c>
    </row>
    <row r="106" spans="1:18" x14ac:dyDescent="0.4">
      <c r="A106">
        <f>装備閲覧!B106</f>
        <v>105</v>
      </c>
      <c r="B106" t="str">
        <f>装備閲覧!C106</f>
        <v>大口径主砲</v>
      </c>
      <c r="C106" t="str">
        <f>装備閲覧!D106</f>
        <v>試製41cm三連装砲</v>
      </c>
      <c r="D106">
        <f>装備閲覧!H106</f>
        <v>3</v>
      </c>
      <c r="E106">
        <f>装備閲覧!J106</f>
        <v>22</v>
      </c>
      <c r="F106">
        <f>装備閲覧!K106</f>
        <v>0</v>
      </c>
      <c r="G106">
        <f>装備閲覧!L106</f>
        <v>5</v>
      </c>
      <c r="H106">
        <f>装備閲覧!M106</f>
        <v>0</v>
      </c>
      <c r="I106">
        <f>装備閲覧!N106</f>
        <v>0</v>
      </c>
      <c r="J106">
        <f>装備閲覧!O106</f>
        <v>0</v>
      </c>
      <c r="K106">
        <f>装備閲覧!P106</f>
        <v>0</v>
      </c>
      <c r="L106">
        <f>装備閲覧!R106</f>
        <v>2</v>
      </c>
      <c r="M106">
        <f>装備閲覧!S106</f>
        <v>0</v>
      </c>
      <c r="N106" t="str">
        <f>装備閲覧!T106</f>
        <v>長</v>
      </c>
      <c r="O106">
        <f>装備閲覧!AA106</f>
        <v>0</v>
      </c>
      <c r="P106" s="1" t="str">
        <f>IFERROR(IFERROR(VLOOKUP(C106,改修!A:B,2,0),_xlfn.NUMBERVALUE(VLOOKUP(C106,特殊改修値!C:D,2,0))),"×")</f>
        <v>〇</v>
      </c>
      <c r="Q106" t="str">
        <f>IFERROR(VLOOKUP(C106,装備ボーナス!B:C,2,0),"×")</f>
        <v>×</v>
      </c>
      <c r="R106" t="str">
        <f>VLOOKUP(A106,wikiName!A:B,2,0)</f>
        <v>試製41cm三連装砲</v>
      </c>
    </row>
    <row r="107" spans="1:18" x14ac:dyDescent="0.4">
      <c r="A107">
        <f>装備閲覧!B107</f>
        <v>106</v>
      </c>
      <c r="B107" t="str">
        <f>装備閲覧!C107</f>
        <v>小型電探</v>
      </c>
      <c r="C107" t="str">
        <f>装備閲覧!D107</f>
        <v>13号対空電探改</v>
      </c>
      <c r="D107">
        <f>装備閲覧!H107</f>
        <v>11</v>
      </c>
      <c r="E107">
        <f>装備閲覧!J107</f>
        <v>0</v>
      </c>
      <c r="F107">
        <f>装備閲覧!K107</f>
        <v>0</v>
      </c>
      <c r="G107">
        <f>装備閲覧!L107</f>
        <v>4</v>
      </c>
      <c r="H107">
        <f>装備閲覧!M107</f>
        <v>0</v>
      </c>
      <c r="I107">
        <f>装備閲覧!N107</f>
        <v>0</v>
      </c>
      <c r="J107">
        <f>装備閲覧!O107</f>
        <v>1</v>
      </c>
      <c r="K107">
        <f>装備閲覧!P107</f>
        <v>4</v>
      </c>
      <c r="L107">
        <f>装備閲覧!R107</f>
        <v>2</v>
      </c>
      <c r="M107">
        <f>装備閲覧!S107</f>
        <v>0</v>
      </c>
      <c r="N107" t="str">
        <f>装備閲覧!T107</f>
        <v>無</v>
      </c>
      <c r="O107">
        <f>装備閲覧!AA107</f>
        <v>0</v>
      </c>
      <c r="P107" s="1" t="str">
        <f>IFERROR(IFERROR(VLOOKUP(C107,改修!A:B,2,0),_xlfn.NUMBERVALUE(VLOOKUP(C107,特殊改修値!C:D,2,0))),"×")</f>
        <v>〇</v>
      </c>
      <c r="Q107" t="str">
        <f>IFERROR(VLOOKUP(C107,装備ボーナス!B:C,2,0),"×")</f>
        <v>〇</v>
      </c>
      <c r="R107" t="str">
        <f>VLOOKUP(A107,wikiName!A:B,2,0)</f>
        <v>13号対空電探改</v>
      </c>
    </row>
    <row r="108" spans="1:18" x14ac:dyDescent="0.4">
      <c r="A108">
        <f>装備閲覧!B108</f>
        <v>107</v>
      </c>
      <c r="B108" t="str">
        <f>装備閲覧!C108</f>
        <v>司令部施設</v>
      </c>
      <c r="C108" t="str">
        <f>装備閲覧!D108</f>
        <v>艦隊司令部施設</v>
      </c>
      <c r="D108">
        <f>装備閲覧!H108</f>
        <v>28</v>
      </c>
      <c r="E108">
        <f>装備閲覧!J108</f>
        <v>0</v>
      </c>
      <c r="F108">
        <f>装備閲覧!K108</f>
        <v>0</v>
      </c>
      <c r="G108">
        <f>装備閲覧!L108</f>
        <v>1</v>
      </c>
      <c r="H108">
        <f>装備閲覧!M108</f>
        <v>0</v>
      </c>
      <c r="I108">
        <f>装備閲覧!N108</f>
        <v>0</v>
      </c>
      <c r="J108">
        <f>装備閲覧!O108</f>
        <v>1</v>
      </c>
      <c r="K108">
        <f>装備閲覧!P108</f>
        <v>1</v>
      </c>
      <c r="L108">
        <f>装備閲覧!R108</f>
        <v>1</v>
      </c>
      <c r="M108">
        <f>装備閲覧!S108</f>
        <v>0</v>
      </c>
      <c r="N108" t="str">
        <f>装備閲覧!T108</f>
        <v>無</v>
      </c>
      <c r="O108">
        <f>装備閲覧!AA108</f>
        <v>0</v>
      </c>
      <c r="P108" s="1" t="str">
        <f>IFERROR(IFERROR(VLOOKUP(C108,改修!A:B,2,0),_xlfn.NUMBERVALUE(VLOOKUP(C108,特殊改修値!C:D,2,0))),"×")</f>
        <v>×</v>
      </c>
      <c r="Q108" t="str">
        <f>IFERROR(VLOOKUP(C108,装備ボーナス!B:C,2,0),"×")</f>
        <v>×</v>
      </c>
      <c r="R108" t="str">
        <f>VLOOKUP(A108,wikiName!A:B,2,0)</f>
        <v>艦隊司令部施設</v>
      </c>
    </row>
    <row r="109" spans="1:18" x14ac:dyDescent="0.4">
      <c r="A109">
        <f>装備閲覧!B109</f>
        <v>108</v>
      </c>
      <c r="B109" t="str">
        <f>装備閲覧!C109</f>
        <v>航空要員</v>
      </c>
      <c r="C109" t="str">
        <f>装備閲覧!D109</f>
        <v>熟練艦載機整備員</v>
      </c>
      <c r="D109">
        <f>装備閲覧!H109</f>
        <v>29</v>
      </c>
      <c r="E109">
        <f>装備閲覧!J109</f>
        <v>10</v>
      </c>
      <c r="F109">
        <f>装備閲覧!K109</f>
        <v>0</v>
      </c>
      <c r="G109">
        <f>装備閲覧!L109</f>
        <v>1</v>
      </c>
      <c r="H109">
        <f>装備閲覧!M109</f>
        <v>0</v>
      </c>
      <c r="I109">
        <f>装備閲覧!N109</f>
        <v>0</v>
      </c>
      <c r="J109">
        <f>装備閲覧!O109</f>
        <v>0</v>
      </c>
      <c r="K109">
        <f>装備閲覧!P109</f>
        <v>1</v>
      </c>
      <c r="L109">
        <f>装備閲覧!R109</f>
        <v>1</v>
      </c>
      <c r="M109">
        <f>装備閲覧!S109</f>
        <v>0</v>
      </c>
      <c r="N109" t="str">
        <f>装備閲覧!T109</f>
        <v>長</v>
      </c>
      <c r="O109">
        <f>装備閲覧!AA109</f>
        <v>0</v>
      </c>
      <c r="P109" s="1" t="str">
        <f>IFERROR(IFERROR(VLOOKUP(C109,改修!A:B,2,0),_xlfn.NUMBERVALUE(VLOOKUP(C109,特殊改修値!C:D,2,0))),"×")</f>
        <v>×</v>
      </c>
      <c r="Q109" t="str">
        <f>IFERROR(VLOOKUP(C109,装備ボーナス!B:C,2,0),"×")</f>
        <v>×</v>
      </c>
      <c r="R109" t="str">
        <f>VLOOKUP(A109,wikiName!A:B,2,0)</f>
        <v>熟練艦載機整備員</v>
      </c>
    </row>
    <row r="110" spans="1:18" x14ac:dyDescent="0.4">
      <c r="A110">
        <f>装備閲覧!B110</f>
        <v>109</v>
      </c>
      <c r="B110" t="str">
        <f>装備閲覧!C110</f>
        <v>艦上戦闘機</v>
      </c>
      <c r="C110" t="str">
        <f>装備閲覧!D110</f>
        <v>零戦52型丙(六〇一空)</v>
      </c>
      <c r="D110">
        <f>装備閲覧!H110</f>
        <v>6</v>
      </c>
      <c r="E110">
        <f>装備閲覧!J110</f>
        <v>0</v>
      </c>
      <c r="F110">
        <f>装備閲覧!K110</f>
        <v>0</v>
      </c>
      <c r="G110">
        <f>装備閲覧!L110</f>
        <v>9</v>
      </c>
      <c r="H110">
        <f>装備閲覧!M110</f>
        <v>0</v>
      </c>
      <c r="I110">
        <f>装備閲覧!N110</f>
        <v>0</v>
      </c>
      <c r="J110">
        <f>装備閲覧!O110</f>
        <v>1</v>
      </c>
      <c r="K110">
        <f>装備閲覧!P110</f>
        <v>0</v>
      </c>
      <c r="L110">
        <f>装備閲覧!R110</f>
        <v>1</v>
      </c>
      <c r="M110">
        <f>装備閲覧!S110</f>
        <v>0</v>
      </c>
      <c r="N110" t="str">
        <f>装備閲覧!T110</f>
        <v>無</v>
      </c>
      <c r="O110">
        <f>装備閲覧!AA110</f>
        <v>6</v>
      </c>
      <c r="P110" s="1" t="str">
        <f>IFERROR(IFERROR(VLOOKUP(C110,改修!A:B,2,0),_xlfn.NUMBERVALUE(VLOOKUP(C110,特殊改修値!C:D,2,0))),"×")</f>
        <v>〇</v>
      </c>
      <c r="Q110" t="str">
        <f>IFERROR(VLOOKUP(C110,装備ボーナス!B:C,2,0),"×")</f>
        <v>×</v>
      </c>
      <c r="R110" t="str">
        <f>VLOOKUP(A110,wikiName!A:B,2,0)</f>
        <v>零戦52型丙(六〇一空)</v>
      </c>
    </row>
    <row r="111" spans="1:18" x14ac:dyDescent="0.4">
      <c r="A111">
        <f>装備閲覧!B111</f>
        <v>110</v>
      </c>
      <c r="B111" t="str">
        <f>装備閲覧!C111</f>
        <v>艦上戦闘機</v>
      </c>
      <c r="C111" t="str">
        <f>装備閲覧!D111</f>
        <v>烈風(六〇一空)</v>
      </c>
      <c r="D111">
        <f>装備閲覧!H111</f>
        <v>6</v>
      </c>
      <c r="E111">
        <f>装備閲覧!J111</f>
        <v>0</v>
      </c>
      <c r="F111">
        <f>装備閲覧!K111</f>
        <v>0</v>
      </c>
      <c r="G111">
        <f>装備閲覧!L111</f>
        <v>11</v>
      </c>
      <c r="H111">
        <f>装備閲覧!M111</f>
        <v>0</v>
      </c>
      <c r="I111">
        <f>装備閲覧!N111</f>
        <v>0</v>
      </c>
      <c r="J111">
        <f>装備閲覧!O111</f>
        <v>2</v>
      </c>
      <c r="K111">
        <f>装備閲覧!P111</f>
        <v>0</v>
      </c>
      <c r="L111">
        <f>装備閲覧!R111</f>
        <v>1</v>
      </c>
      <c r="M111">
        <f>装備閲覧!S111</f>
        <v>0</v>
      </c>
      <c r="N111" t="str">
        <f>装備閲覧!T111</f>
        <v>無</v>
      </c>
      <c r="O111">
        <f>装備閲覧!AA111</f>
        <v>5</v>
      </c>
      <c r="P111" s="1">
        <f>IFERROR(IFERROR(VLOOKUP(C111,改修!A:B,2,0),_xlfn.NUMBERVALUE(VLOOKUP(C111,特殊改修値!C:D,2,0))),"×")</f>
        <v>10</v>
      </c>
      <c r="Q111" t="str">
        <f>IFERROR(VLOOKUP(C111,装備ボーナス!B:C,2,0),"×")</f>
        <v>×</v>
      </c>
      <c r="R111" t="str">
        <f>VLOOKUP(A111,wikiName!A:B,2,0)</f>
        <v>烈風(六〇一空)</v>
      </c>
    </row>
    <row r="112" spans="1:18" x14ac:dyDescent="0.4">
      <c r="A112">
        <f>装備閲覧!B112</f>
        <v>111</v>
      </c>
      <c r="B112" t="str">
        <f>装備閲覧!C112</f>
        <v>艦上爆撃機</v>
      </c>
      <c r="C112" t="str">
        <f>装備閲覧!D112</f>
        <v>彗星(六〇一空)</v>
      </c>
      <c r="D112">
        <f>装備閲覧!H112</f>
        <v>7</v>
      </c>
      <c r="E112">
        <f>装備閲覧!J112</f>
        <v>0</v>
      </c>
      <c r="F112">
        <f>装備閲覧!K112</f>
        <v>0</v>
      </c>
      <c r="G112">
        <f>装備閲覧!L112</f>
        <v>0</v>
      </c>
      <c r="H112">
        <f>装備閲覧!M112</f>
        <v>0</v>
      </c>
      <c r="I112">
        <f>装備閲覧!N112</f>
        <v>4</v>
      </c>
      <c r="J112">
        <f>装備閲覧!O112</f>
        <v>0</v>
      </c>
      <c r="K112">
        <f>装備閲覧!P112</f>
        <v>1</v>
      </c>
      <c r="L112">
        <f>装備閲覧!R112</f>
        <v>1</v>
      </c>
      <c r="M112">
        <f>装備閲覧!S112</f>
        <v>11</v>
      </c>
      <c r="N112" t="str">
        <f>装備閲覧!T112</f>
        <v>無</v>
      </c>
      <c r="O112">
        <f>装備閲覧!AA112</f>
        <v>5</v>
      </c>
      <c r="P112" s="1" t="str">
        <f>IFERROR(IFERROR(VLOOKUP(C112,改修!A:B,2,0),_xlfn.NUMBERVALUE(VLOOKUP(C112,特殊改修値!C:D,2,0))),"×")</f>
        <v>×</v>
      </c>
      <c r="Q112" t="str">
        <f>IFERROR(VLOOKUP(C112,装備ボーナス!B:C,2,0),"×")</f>
        <v>〇</v>
      </c>
      <c r="R112" t="str">
        <f>VLOOKUP(A112,wikiName!A:B,2,0)</f>
        <v>彗星(六〇一空)</v>
      </c>
    </row>
    <row r="113" spans="1:18" x14ac:dyDescent="0.4">
      <c r="A113">
        <f>装備閲覧!B113</f>
        <v>112</v>
      </c>
      <c r="B113" t="str">
        <f>装備閲覧!C113</f>
        <v>艦上攻撃機</v>
      </c>
      <c r="C113" t="str">
        <f>装備閲覧!D113</f>
        <v>天山(六〇一空)</v>
      </c>
      <c r="D113">
        <f>装備閲覧!H113</f>
        <v>8</v>
      </c>
      <c r="E113">
        <f>装備閲覧!J113</f>
        <v>0</v>
      </c>
      <c r="F113">
        <f>装備閲覧!K113</f>
        <v>10</v>
      </c>
      <c r="G113">
        <f>装備閲覧!L113</f>
        <v>0</v>
      </c>
      <c r="H113">
        <f>装備閲覧!M113</f>
        <v>0</v>
      </c>
      <c r="I113">
        <f>装備閲覧!N113</f>
        <v>4</v>
      </c>
      <c r="J113">
        <f>装備閲覧!O113</f>
        <v>0</v>
      </c>
      <c r="K113">
        <f>装備閲覧!P113</f>
        <v>2</v>
      </c>
      <c r="L113">
        <f>装備閲覧!R113</f>
        <v>1</v>
      </c>
      <c r="M113">
        <f>装備閲覧!S113</f>
        <v>0</v>
      </c>
      <c r="N113" t="str">
        <f>装備閲覧!T113</f>
        <v>無</v>
      </c>
      <c r="O113">
        <f>装備閲覧!AA113</f>
        <v>5</v>
      </c>
      <c r="P113" s="1" t="str">
        <f>IFERROR(IFERROR(VLOOKUP(C113,改修!A:B,2,0),_xlfn.NUMBERVALUE(VLOOKUP(C113,特殊改修値!C:D,2,0))),"×")</f>
        <v>×</v>
      </c>
      <c r="Q113" t="str">
        <f>IFERROR(VLOOKUP(C113,装備ボーナス!B:C,2,0),"×")</f>
        <v>×</v>
      </c>
      <c r="R113" t="str">
        <f>VLOOKUP(A113,wikiName!A:B,2,0)</f>
        <v>天山(六〇一空)</v>
      </c>
    </row>
    <row r="114" spans="1:18" x14ac:dyDescent="0.4">
      <c r="A114">
        <f>装備閲覧!B114</f>
        <v>113</v>
      </c>
      <c r="B114" t="str">
        <f>装備閲覧!C114</f>
        <v>艦上攻撃機</v>
      </c>
      <c r="C114" t="str">
        <f>装備閲覧!D114</f>
        <v>流星(六〇一空)</v>
      </c>
      <c r="D114">
        <f>装備閲覧!H114</f>
        <v>8</v>
      </c>
      <c r="E114">
        <f>装備閲覧!J114</f>
        <v>0</v>
      </c>
      <c r="F114">
        <f>装備閲覧!K114</f>
        <v>13</v>
      </c>
      <c r="G114">
        <f>装備閲覧!L114</f>
        <v>0</v>
      </c>
      <c r="H114">
        <f>装備閲覧!M114</f>
        <v>0</v>
      </c>
      <c r="I114">
        <f>装備閲覧!N114</f>
        <v>5</v>
      </c>
      <c r="J114">
        <f>装備閲覧!O114</f>
        <v>0</v>
      </c>
      <c r="K114">
        <f>装備閲覧!P114</f>
        <v>3</v>
      </c>
      <c r="L114">
        <f>装備閲覧!R114</f>
        <v>1</v>
      </c>
      <c r="M114">
        <f>装備閲覧!S114</f>
        <v>0</v>
      </c>
      <c r="N114" t="str">
        <f>装備閲覧!T114</f>
        <v>無</v>
      </c>
      <c r="O114">
        <f>装備閲覧!AA114</f>
        <v>6</v>
      </c>
      <c r="P114" s="1" t="str">
        <f>IFERROR(IFERROR(VLOOKUP(C114,改修!A:B,2,0),_xlfn.NUMBERVALUE(VLOOKUP(C114,特殊改修値!C:D,2,0))),"×")</f>
        <v>×</v>
      </c>
      <c r="Q114" t="str">
        <f>IFERROR(VLOOKUP(C114,装備ボーナス!B:C,2,0),"×")</f>
        <v>×</v>
      </c>
      <c r="R114" t="str">
        <f>VLOOKUP(A114,wikiName!A:B,2,0)</f>
        <v>流星(六〇一空)</v>
      </c>
    </row>
    <row r="115" spans="1:18" x14ac:dyDescent="0.4">
      <c r="A115">
        <f>装備閲覧!B115</f>
        <v>114</v>
      </c>
      <c r="B115" t="str">
        <f>装備閲覧!C115</f>
        <v>大口径主砲</v>
      </c>
      <c r="C115" t="str">
        <f>装備閲覧!D115</f>
        <v>38cm連装砲改</v>
      </c>
      <c r="D115">
        <f>装備閲覧!H115</f>
        <v>3</v>
      </c>
      <c r="E115">
        <f>装備閲覧!J115</f>
        <v>17</v>
      </c>
      <c r="F115">
        <f>装備閲覧!K115</f>
        <v>0</v>
      </c>
      <c r="G115">
        <f>装備閲覧!L115</f>
        <v>2</v>
      </c>
      <c r="H115">
        <f>装備閲覧!M115</f>
        <v>0</v>
      </c>
      <c r="I115">
        <f>装備閲覧!N115</f>
        <v>0</v>
      </c>
      <c r="J115">
        <f>装備閲覧!O115</f>
        <v>0</v>
      </c>
      <c r="K115">
        <f>装備閲覧!P115</f>
        <v>0</v>
      </c>
      <c r="L115">
        <f>装備閲覧!R115</f>
        <v>3</v>
      </c>
      <c r="M115">
        <f>装備閲覧!S115</f>
        <v>0</v>
      </c>
      <c r="N115" t="str">
        <f>装備閲覧!T115</f>
        <v>長</v>
      </c>
      <c r="O115">
        <f>装備閲覧!AA115</f>
        <v>0</v>
      </c>
      <c r="P115" s="1" t="str">
        <f>IFERROR(IFERROR(VLOOKUP(C115,改修!A:B,2,0),_xlfn.NUMBERVALUE(VLOOKUP(C115,特殊改修値!C:D,2,0))),"×")</f>
        <v>〇</v>
      </c>
      <c r="Q115" t="str">
        <f>IFERROR(VLOOKUP(C115,装備ボーナス!B:C,2,0),"×")</f>
        <v>×</v>
      </c>
      <c r="R115" t="str">
        <f>VLOOKUP(A115,wikiName!A:B,2,0)</f>
        <v>38cm連装砲改</v>
      </c>
    </row>
    <row r="116" spans="1:18" x14ac:dyDescent="0.4">
      <c r="A116">
        <f>装備閲覧!B116</f>
        <v>115</v>
      </c>
      <c r="B116" t="str">
        <f>装備閲覧!C116</f>
        <v>水上偵察機</v>
      </c>
      <c r="C116" t="str">
        <f>装備閲覧!D116</f>
        <v>Ar196改</v>
      </c>
      <c r="D116">
        <f>装備閲覧!H116</f>
        <v>10</v>
      </c>
      <c r="E116">
        <f>装備閲覧!J116</f>
        <v>0</v>
      </c>
      <c r="F116">
        <f>装備閲覧!K116</f>
        <v>0</v>
      </c>
      <c r="G116">
        <f>装備閲覧!L116</f>
        <v>1</v>
      </c>
      <c r="H116">
        <f>装備閲覧!M116</f>
        <v>0</v>
      </c>
      <c r="I116">
        <f>装備閲覧!N116</f>
        <v>5</v>
      </c>
      <c r="J116">
        <f>装備閲覧!O116</f>
        <v>0</v>
      </c>
      <c r="K116">
        <f>装備閲覧!P116</f>
        <v>5</v>
      </c>
      <c r="L116">
        <f>装備閲覧!R116</f>
        <v>2</v>
      </c>
      <c r="M116">
        <f>装備閲覧!S116</f>
        <v>1</v>
      </c>
      <c r="N116" t="str">
        <f>装備閲覧!T116</f>
        <v>無</v>
      </c>
      <c r="O116">
        <f>装備閲覧!AA116</f>
        <v>3</v>
      </c>
      <c r="P116" s="1" t="str">
        <f>IFERROR(IFERROR(VLOOKUP(C116,改修!A:B,2,0),_xlfn.NUMBERVALUE(VLOOKUP(C116,特殊改修値!C:D,2,0))),"×")</f>
        <v>×</v>
      </c>
      <c r="Q116" t="str">
        <f>IFERROR(VLOOKUP(C116,装備ボーナス!B:C,2,0),"×")</f>
        <v>×</v>
      </c>
      <c r="R116" t="str">
        <f>VLOOKUP(A116,wikiName!A:B,2,0)</f>
        <v>Ar196改</v>
      </c>
    </row>
    <row r="117" spans="1:18" x14ac:dyDescent="0.4">
      <c r="A117">
        <f>装備閲覧!B117</f>
        <v>116</v>
      </c>
      <c r="B117" t="str">
        <f>装備閲覧!C117</f>
        <v>対艦強化弾</v>
      </c>
      <c r="C117" t="str">
        <f>装備閲覧!D117</f>
        <v>一式徹甲弾</v>
      </c>
      <c r="D117">
        <f>装備閲覧!H117</f>
        <v>13</v>
      </c>
      <c r="E117">
        <f>装備閲覧!J117</f>
        <v>9</v>
      </c>
      <c r="F117">
        <f>装備閲覧!K117</f>
        <v>0</v>
      </c>
      <c r="G117">
        <f>装備閲覧!L117</f>
        <v>0</v>
      </c>
      <c r="H117">
        <f>装備閲覧!M117</f>
        <v>0</v>
      </c>
      <c r="I117">
        <f>装備閲覧!N117</f>
        <v>0</v>
      </c>
      <c r="J117">
        <f>装備閲覧!O117</f>
        <v>0</v>
      </c>
      <c r="K117">
        <f>装備閲覧!P117</f>
        <v>0</v>
      </c>
      <c r="L117">
        <f>装備閲覧!R117</f>
        <v>2</v>
      </c>
      <c r="M117">
        <f>装備閲覧!S117</f>
        <v>0</v>
      </c>
      <c r="N117" t="str">
        <f>装備閲覧!T117</f>
        <v>無</v>
      </c>
      <c r="O117">
        <f>装備閲覧!AA117</f>
        <v>0</v>
      </c>
      <c r="P117" s="1" t="str">
        <f>IFERROR(IFERROR(VLOOKUP(C117,改修!A:B,2,0),_xlfn.NUMBERVALUE(VLOOKUP(C117,特殊改修値!C:D,2,0))),"×")</f>
        <v>〇</v>
      </c>
      <c r="Q117" t="str">
        <f>IFERROR(VLOOKUP(C117,装備ボーナス!B:C,2,0),"×")</f>
        <v>×</v>
      </c>
      <c r="R117" t="str">
        <f>VLOOKUP(A117,wikiName!A:B,2,0)</f>
        <v>一式徹甲弾</v>
      </c>
    </row>
    <row r="118" spans="1:18" x14ac:dyDescent="0.4">
      <c r="A118">
        <f>装備閲覧!B118</f>
        <v>117</v>
      </c>
      <c r="B118" t="str">
        <f>装備閲覧!C118</f>
        <v>大口径主砲</v>
      </c>
      <c r="C118" t="str">
        <f>装備閲覧!D118</f>
        <v>試製46cm連装砲</v>
      </c>
      <c r="D118">
        <f>装備閲覧!H118</f>
        <v>3</v>
      </c>
      <c r="E118">
        <f>装備閲覧!J118</f>
        <v>23</v>
      </c>
      <c r="F118">
        <f>装備閲覧!K118</f>
        <v>0</v>
      </c>
      <c r="G118">
        <f>装備閲覧!L118</f>
        <v>4</v>
      </c>
      <c r="H118">
        <f>装備閲覧!M118</f>
        <v>0</v>
      </c>
      <c r="I118">
        <f>装備閲覧!N118</f>
        <v>0</v>
      </c>
      <c r="J118">
        <f>装備閲覧!O118</f>
        <v>0</v>
      </c>
      <c r="K118">
        <f>装備閲覧!P118</f>
        <v>0</v>
      </c>
      <c r="L118">
        <f>装備閲覧!R118</f>
        <v>1</v>
      </c>
      <c r="M118">
        <f>装備閲覧!S118</f>
        <v>0</v>
      </c>
      <c r="N118" t="str">
        <f>装備閲覧!T118</f>
        <v>超長</v>
      </c>
      <c r="O118">
        <f>装備閲覧!AA118</f>
        <v>0</v>
      </c>
      <c r="P118" s="1" t="str">
        <f>IFERROR(IFERROR(VLOOKUP(C118,改修!A:B,2,0),_xlfn.NUMBERVALUE(VLOOKUP(C118,特殊改修値!C:D,2,0))),"×")</f>
        <v>〇</v>
      </c>
      <c r="Q118" t="str">
        <f>IFERROR(VLOOKUP(C118,装備ボーナス!B:C,2,0),"×")</f>
        <v>×</v>
      </c>
      <c r="R118" t="str">
        <f>VLOOKUP(A118,wikiName!A:B,2,0)</f>
        <v>試製46cm連装砲</v>
      </c>
    </row>
    <row r="119" spans="1:18" x14ac:dyDescent="0.4">
      <c r="A119">
        <f>装備閲覧!B119</f>
        <v>118</v>
      </c>
      <c r="B119" t="str">
        <f>装備閲覧!C119</f>
        <v>水上偵察機</v>
      </c>
      <c r="C119" t="str">
        <f>装備閲覧!D119</f>
        <v>紫雲</v>
      </c>
      <c r="D119">
        <f>装備閲覧!H119</f>
        <v>10</v>
      </c>
      <c r="E119">
        <f>装備閲覧!J119</f>
        <v>0</v>
      </c>
      <c r="F119">
        <f>装備閲覧!K119</f>
        <v>0</v>
      </c>
      <c r="G119">
        <f>装備閲覧!L119</f>
        <v>0</v>
      </c>
      <c r="H119">
        <f>装備閲覧!M119</f>
        <v>0</v>
      </c>
      <c r="I119">
        <f>装備閲覧!N119</f>
        <v>2</v>
      </c>
      <c r="J119">
        <f>装備閲覧!O119</f>
        <v>0</v>
      </c>
      <c r="K119">
        <f>装備閲覧!P119</f>
        <v>8</v>
      </c>
      <c r="L119">
        <f>装備閲覧!R119</f>
        <v>1</v>
      </c>
      <c r="M119">
        <f>装備閲覧!S119</f>
        <v>1</v>
      </c>
      <c r="N119" t="str">
        <f>装備閲覧!T119</f>
        <v>無</v>
      </c>
      <c r="O119">
        <f>装備閲覧!AA119</f>
        <v>4</v>
      </c>
      <c r="P119" s="1" t="str">
        <f>IFERROR(IFERROR(VLOOKUP(C119,改修!A:B,2,0),_xlfn.NUMBERVALUE(VLOOKUP(C119,特殊改修値!C:D,2,0))),"×")</f>
        <v>×</v>
      </c>
      <c r="Q119" t="str">
        <f>IFERROR(VLOOKUP(C119,装備ボーナス!B:C,2,0),"×")</f>
        <v>×</v>
      </c>
      <c r="R119" t="str">
        <f>VLOOKUP(A119,wikiName!A:B,2,0)</f>
        <v>紫雲</v>
      </c>
    </row>
    <row r="120" spans="1:18" x14ac:dyDescent="0.4">
      <c r="A120">
        <f>装備閲覧!B120</f>
        <v>119</v>
      </c>
      <c r="B120" t="str">
        <f>装備閲覧!C120</f>
        <v>中口径主砲</v>
      </c>
      <c r="C120" t="str">
        <f>装備閲覧!D120</f>
        <v>14cm連装砲</v>
      </c>
      <c r="D120">
        <f>装備閲覧!H120</f>
        <v>2</v>
      </c>
      <c r="E120">
        <f>装備閲覧!J120</f>
        <v>4</v>
      </c>
      <c r="F120">
        <f>装備閲覧!K120</f>
        <v>0</v>
      </c>
      <c r="G120">
        <f>装備閲覧!L120</f>
        <v>0</v>
      </c>
      <c r="H120">
        <f>装備閲覧!M120</f>
        <v>0</v>
      </c>
      <c r="I120">
        <f>装備閲覧!N120</f>
        <v>0</v>
      </c>
      <c r="J120">
        <f>装備閲覧!O120</f>
        <v>0</v>
      </c>
      <c r="K120">
        <f>装備閲覧!P120</f>
        <v>0</v>
      </c>
      <c r="L120">
        <f>装備閲覧!R120</f>
        <v>2</v>
      </c>
      <c r="M120">
        <f>装備閲覧!S120</f>
        <v>0</v>
      </c>
      <c r="N120" t="str">
        <f>装備閲覧!T120</f>
        <v>中</v>
      </c>
      <c r="O120">
        <f>装備閲覧!AA120</f>
        <v>0</v>
      </c>
      <c r="P120" s="1" t="str">
        <f>IFERROR(IFERROR(VLOOKUP(C120,改修!A:B,2,0),_xlfn.NUMBERVALUE(VLOOKUP(C120,特殊改修値!C:D,2,0))),"×")</f>
        <v>〇</v>
      </c>
      <c r="Q120" t="str">
        <f>IFERROR(VLOOKUP(C120,装備ボーナス!B:C,2,0),"×")</f>
        <v>〇</v>
      </c>
      <c r="R120" t="str">
        <f>VLOOKUP(A120,wikiName!A:B,2,0)</f>
        <v>14cm連装砲</v>
      </c>
    </row>
    <row r="121" spans="1:18" x14ac:dyDescent="0.4">
      <c r="A121">
        <f>装備閲覧!B121</f>
        <v>120</v>
      </c>
      <c r="B121" t="str">
        <f>装備閲覧!C121</f>
        <v>高射装置</v>
      </c>
      <c r="C121" t="str">
        <f>装備閲覧!D121</f>
        <v>91式高射装置</v>
      </c>
      <c r="D121">
        <f>装備閲覧!H121</f>
        <v>30</v>
      </c>
      <c r="E121">
        <f>装備閲覧!J121</f>
        <v>0</v>
      </c>
      <c r="F121">
        <f>装備閲覧!K121</f>
        <v>0</v>
      </c>
      <c r="G121">
        <f>装備閲覧!L121</f>
        <v>2</v>
      </c>
      <c r="H121">
        <f>装備閲覧!M121</f>
        <v>0</v>
      </c>
      <c r="I121">
        <f>装備閲覧!N121</f>
        <v>0</v>
      </c>
      <c r="J121">
        <f>装備閲覧!O121</f>
        <v>1</v>
      </c>
      <c r="K121">
        <f>装備閲覧!P121</f>
        <v>0</v>
      </c>
      <c r="L121">
        <f>装備閲覧!R121</f>
        <v>0</v>
      </c>
      <c r="M121">
        <f>装備閲覧!S121</f>
        <v>0</v>
      </c>
      <c r="N121" t="str">
        <f>装備閲覧!T121</f>
        <v>無</v>
      </c>
      <c r="O121">
        <f>装備閲覧!AA121</f>
        <v>0</v>
      </c>
      <c r="P121" s="1" t="str">
        <f>IFERROR(IFERROR(VLOOKUP(C121,改修!A:B,2,0),_xlfn.NUMBERVALUE(VLOOKUP(C121,特殊改修値!C:D,2,0))),"×")</f>
        <v>〇</v>
      </c>
      <c r="Q121" t="str">
        <f>IFERROR(VLOOKUP(C121,装備ボーナス!B:C,2,0),"×")</f>
        <v>×</v>
      </c>
      <c r="R121" t="str">
        <f>VLOOKUP(A121,wikiName!A:B,2,0)</f>
        <v>91式高射装置</v>
      </c>
    </row>
    <row r="122" spans="1:18" x14ac:dyDescent="0.4">
      <c r="A122">
        <f>装備閲覧!B122</f>
        <v>121</v>
      </c>
      <c r="B122" t="str">
        <f>装備閲覧!C122</f>
        <v>高射装置</v>
      </c>
      <c r="C122" t="str">
        <f>装備閲覧!D122</f>
        <v>94式高射装置</v>
      </c>
      <c r="D122">
        <f>装備閲覧!H122</f>
        <v>30</v>
      </c>
      <c r="E122">
        <f>装備閲覧!J122</f>
        <v>0</v>
      </c>
      <c r="F122">
        <f>装備閲覧!K122</f>
        <v>0</v>
      </c>
      <c r="G122">
        <f>装備閲覧!L122</f>
        <v>3</v>
      </c>
      <c r="H122">
        <f>装備閲覧!M122</f>
        <v>0</v>
      </c>
      <c r="I122">
        <f>装備閲覧!N122</f>
        <v>0</v>
      </c>
      <c r="J122">
        <f>装備閲覧!O122</f>
        <v>1</v>
      </c>
      <c r="K122">
        <f>装備閲覧!P122</f>
        <v>0</v>
      </c>
      <c r="L122">
        <f>装備閲覧!R122</f>
        <v>0</v>
      </c>
      <c r="M122">
        <f>装備閲覧!S122</f>
        <v>0</v>
      </c>
      <c r="N122" t="str">
        <f>装備閲覧!T122</f>
        <v>無</v>
      </c>
      <c r="O122">
        <f>装備閲覧!AA122</f>
        <v>0</v>
      </c>
      <c r="P122" s="1" t="str">
        <f>IFERROR(IFERROR(VLOOKUP(C122,改修!A:B,2,0),_xlfn.NUMBERVALUE(VLOOKUP(C122,特殊改修値!C:D,2,0))),"×")</f>
        <v>〇</v>
      </c>
      <c r="Q122" t="str">
        <f>IFERROR(VLOOKUP(C122,装備ボーナス!B:C,2,0),"×")</f>
        <v>×</v>
      </c>
      <c r="R122" t="str">
        <f>VLOOKUP(A122,wikiName!A:B,2,0)</f>
        <v>94式高射装置</v>
      </c>
    </row>
    <row r="123" spans="1:18" x14ac:dyDescent="0.4">
      <c r="A123">
        <f>装備閲覧!B123</f>
        <v>122</v>
      </c>
      <c r="B123" t="str">
        <f>装備閲覧!C123</f>
        <v>小口径主砲</v>
      </c>
      <c r="C123" t="str">
        <f>装備閲覧!D123</f>
        <v>10cm連装高角砲+高射装置</v>
      </c>
      <c r="D123">
        <f>装備閲覧!H123</f>
        <v>16</v>
      </c>
      <c r="E123">
        <f>装備閲覧!J123</f>
        <v>3</v>
      </c>
      <c r="F123">
        <f>装備閲覧!K123</f>
        <v>0</v>
      </c>
      <c r="G123">
        <f>装備閲覧!L123</f>
        <v>10</v>
      </c>
      <c r="H123">
        <f>装備閲覧!M123</f>
        <v>0</v>
      </c>
      <c r="I123">
        <f>装備閲覧!N123</f>
        <v>0</v>
      </c>
      <c r="J123">
        <f>装備閲覧!O123</f>
        <v>1</v>
      </c>
      <c r="K123">
        <f>装備閲覧!P123</f>
        <v>0</v>
      </c>
      <c r="L123">
        <f>装備閲覧!R123</f>
        <v>1</v>
      </c>
      <c r="M123">
        <f>装備閲覧!S123</f>
        <v>0</v>
      </c>
      <c r="N123" t="str">
        <f>装備閲覧!T123</f>
        <v>短</v>
      </c>
      <c r="O123">
        <f>装備閲覧!AA123</f>
        <v>0</v>
      </c>
      <c r="P123" s="1" t="str">
        <f>IFERROR(IFERROR(VLOOKUP(C123,改修!A:B,2,0),_xlfn.NUMBERVALUE(VLOOKUP(C123,特殊改修値!C:D,2,0))),"×")</f>
        <v>〇</v>
      </c>
      <c r="Q123" t="str">
        <f>IFERROR(VLOOKUP(C123,装備ボーナス!B:C,2,0),"×")</f>
        <v>×</v>
      </c>
      <c r="R123" t="str">
        <f>VLOOKUP(A123,wikiName!A:B,2,0)</f>
        <v>10cm高角砲＋高射装置</v>
      </c>
    </row>
    <row r="124" spans="1:18" x14ac:dyDescent="0.4">
      <c r="A124">
        <f>装備閲覧!B124</f>
        <v>123</v>
      </c>
      <c r="B124" t="str">
        <f>装備閲覧!C124</f>
        <v>中口径主砲</v>
      </c>
      <c r="C124" t="str">
        <f>装備閲覧!D124</f>
        <v>SKC34 20.3cm連装砲</v>
      </c>
      <c r="D124">
        <f>装備閲覧!H124</f>
        <v>2</v>
      </c>
      <c r="E124">
        <f>装備閲覧!J124</f>
        <v>10</v>
      </c>
      <c r="F124">
        <f>装備閲覧!K124</f>
        <v>0</v>
      </c>
      <c r="G124">
        <f>装備閲覧!L124</f>
        <v>2</v>
      </c>
      <c r="H124">
        <f>装備閲覧!M124</f>
        <v>0</v>
      </c>
      <c r="I124">
        <f>装備閲覧!N124</f>
        <v>0</v>
      </c>
      <c r="J124">
        <f>装備閲覧!O124</f>
        <v>0</v>
      </c>
      <c r="K124">
        <f>装備閲覧!P124</f>
        <v>0</v>
      </c>
      <c r="L124">
        <f>装備閲覧!R124</f>
        <v>3</v>
      </c>
      <c r="M124">
        <f>装備閲覧!S124</f>
        <v>0</v>
      </c>
      <c r="N124" t="str">
        <f>装備閲覧!T124</f>
        <v>中</v>
      </c>
      <c r="O124">
        <f>装備閲覧!AA124</f>
        <v>0</v>
      </c>
      <c r="P124" s="1" t="str">
        <f>IFERROR(IFERROR(VLOOKUP(C124,改修!A:B,2,0),_xlfn.NUMBERVALUE(VLOOKUP(C124,特殊改修値!C:D,2,0))),"×")</f>
        <v>×</v>
      </c>
      <c r="Q124" t="str">
        <f>IFERROR(VLOOKUP(C124,装備ボーナス!B:C,2,0),"×")</f>
        <v>×</v>
      </c>
      <c r="R124" t="str">
        <f>VLOOKUP(A124,wikiName!A:B,2,0)</f>
        <v>SKC34 20.3cm連装砲</v>
      </c>
    </row>
    <row r="125" spans="1:18" x14ac:dyDescent="0.4">
      <c r="A125">
        <f>装備閲覧!B125</f>
        <v>124</v>
      </c>
      <c r="B125" t="str">
        <f>装備閲覧!C125</f>
        <v>大型電探</v>
      </c>
      <c r="C125" t="str">
        <f>装備閲覧!D125</f>
        <v>FuMO25 レーダー</v>
      </c>
      <c r="D125">
        <f>装備閲覧!H125</f>
        <v>11</v>
      </c>
      <c r="E125">
        <f>装備閲覧!J125</f>
        <v>3</v>
      </c>
      <c r="F125">
        <f>装備閲覧!K125</f>
        <v>0</v>
      </c>
      <c r="G125">
        <f>装備閲覧!L125</f>
        <v>7</v>
      </c>
      <c r="H125">
        <f>装備閲覧!M125</f>
        <v>0</v>
      </c>
      <c r="I125">
        <f>装備閲覧!N125</f>
        <v>0</v>
      </c>
      <c r="J125">
        <f>装備閲覧!O125</f>
        <v>0</v>
      </c>
      <c r="K125">
        <f>装備閲覧!P125</f>
        <v>9</v>
      </c>
      <c r="L125">
        <f>装備閲覧!R125</f>
        <v>10</v>
      </c>
      <c r="M125">
        <f>装備閲覧!S125</f>
        <v>0</v>
      </c>
      <c r="N125" t="str">
        <f>装備閲覧!T125</f>
        <v>無</v>
      </c>
      <c r="O125">
        <f>装備閲覧!AA125</f>
        <v>0</v>
      </c>
      <c r="P125" s="1" t="str">
        <f>IFERROR(IFERROR(VLOOKUP(C125,改修!A:B,2,0),_xlfn.NUMBERVALUE(VLOOKUP(C125,特殊改修値!C:D,2,0))),"×")</f>
        <v>×</v>
      </c>
      <c r="Q125" t="str">
        <f>IFERROR(VLOOKUP(C125,装備ボーナス!B:C,2,0),"×")</f>
        <v>×</v>
      </c>
      <c r="R125" t="str">
        <f>VLOOKUP(A125,wikiName!A:B,2,0)</f>
        <v>FuMO25 レーダー</v>
      </c>
    </row>
    <row r="126" spans="1:18" x14ac:dyDescent="0.4">
      <c r="A126">
        <f>装備閲覧!B126</f>
        <v>125</v>
      </c>
      <c r="B126" t="str">
        <f>装備閲覧!C126</f>
        <v>魚雷</v>
      </c>
      <c r="C126" t="str">
        <f>装備閲覧!D126</f>
        <v>61cm三連装(酸素)魚雷</v>
      </c>
      <c r="D126">
        <f>装備閲覧!H126</f>
        <v>5</v>
      </c>
      <c r="E126">
        <f>装備閲覧!J126</f>
        <v>0</v>
      </c>
      <c r="F126">
        <f>装備閲覧!K126</f>
        <v>8</v>
      </c>
      <c r="G126">
        <f>装備閲覧!L126</f>
        <v>0</v>
      </c>
      <c r="H126">
        <f>装備閲覧!M126</f>
        <v>1</v>
      </c>
      <c r="I126">
        <f>装備閲覧!N126</f>
        <v>0</v>
      </c>
      <c r="J126">
        <f>装備閲覧!O126</f>
        <v>1</v>
      </c>
      <c r="K126">
        <f>装備閲覧!P126</f>
        <v>0</v>
      </c>
      <c r="L126">
        <f>装備閲覧!R126</f>
        <v>0</v>
      </c>
      <c r="M126">
        <f>装備閲覧!S126</f>
        <v>0</v>
      </c>
      <c r="N126" t="str">
        <f>装備閲覧!T126</f>
        <v>短</v>
      </c>
      <c r="O126">
        <f>装備閲覧!AA126</f>
        <v>0</v>
      </c>
      <c r="P126" s="1" t="str">
        <f>IFERROR(IFERROR(VLOOKUP(C126,改修!A:B,2,0),_xlfn.NUMBERVALUE(VLOOKUP(C126,特殊改修値!C:D,2,0))),"×")</f>
        <v>〇</v>
      </c>
      <c r="Q126" t="str">
        <f>IFERROR(VLOOKUP(C126,装備ボーナス!B:C,2,0),"×")</f>
        <v>×</v>
      </c>
      <c r="R126" t="str">
        <f>VLOOKUP(A126,wikiName!A:B,2,0)</f>
        <v>61cm三連装(酸素)魚雷</v>
      </c>
    </row>
    <row r="127" spans="1:18" x14ac:dyDescent="0.4">
      <c r="A127">
        <f>装備閲覧!B127</f>
        <v>126</v>
      </c>
      <c r="B127" t="str">
        <f>装備閲覧!C127</f>
        <v>対地装備</v>
      </c>
      <c r="C127" t="str">
        <f>装備閲覧!D127</f>
        <v>WG42 (Wurfgerat 42)</v>
      </c>
      <c r="D127">
        <f>装備閲覧!H127</f>
        <v>31</v>
      </c>
      <c r="E127">
        <f>装備閲覧!J127</f>
        <v>1</v>
      </c>
      <c r="F127">
        <f>装備閲覧!K127</f>
        <v>0</v>
      </c>
      <c r="G127">
        <f>装備閲覧!L127</f>
        <v>0</v>
      </c>
      <c r="H127">
        <f>装備閲覧!M127</f>
        <v>-1</v>
      </c>
      <c r="I127">
        <f>装備閲覧!N127</f>
        <v>0</v>
      </c>
      <c r="J127">
        <f>装備閲覧!O127</f>
        <v>0</v>
      </c>
      <c r="K127">
        <f>装備閲覧!P127</f>
        <v>0</v>
      </c>
      <c r="L127">
        <f>装備閲覧!R127</f>
        <v>0</v>
      </c>
      <c r="M127">
        <f>装備閲覧!S127</f>
        <v>0</v>
      </c>
      <c r="N127" t="str">
        <f>装備閲覧!T127</f>
        <v>短</v>
      </c>
      <c r="O127">
        <f>装備閲覧!AA127</f>
        <v>0</v>
      </c>
      <c r="P127" s="1" t="str">
        <f>IFERROR(IFERROR(VLOOKUP(C127,改修!A:B,2,0),_xlfn.NUMBERVALUE(VLOOKUP(C127,特殊改修値!C:D,2,0))),"×")</f>
        <v>×</v>
      </c>
      <c r="Q127" t="str">
        <f>IFERROR(VLOOKUP(C127,装備ボーナス!B:C,2,0),"×")</f>
        <v>×</v>
      </c>
      <c r="R127" t="str">
        <f>VLOOKUP(A127,wikiName!A:B,2,0)</f>
        <v>WG42(Wurfgerät 42)</v>
      </c>
    </row>
    <row r="128" spans="1:18" x14ac:dyDescent="0.4">
      <c r="A128">
        <f>装備閲覧!B128</f>
        <v>127</v>
      </c>
      <c r="B128" t="str">
        <f>装備閲覧!C128</f>
        <v>潜水艦魚雷</v>
      </c>
      <c r="C128" t="str">
        <f>装備閲覧!D128</f>
        <v>試製FaT仕様九五式酸素魚雷改</v>
      </c>
      <c r="D128">
        <f>装備閲覧!H128</f>
        <v>5</v>
      </c>
      <c r="E128">
        <f>装備閲覧!J128</f>
        <v>0</v>
      </c>
      <c r="F128">
        <f>装備閲覧!K128</f>
        <v>14</v>
      </c>
      <c r="G128">
        <f>装備閲覧!L128</f>
        <v>0</v>
      </c>
      <c r="H128">
        <f>装備閲覧!M128</f>
        <v>0</v>
      </c>
      <c r="I128">
        <f>装備閲覧!N128</f>
        <v>0</v>
      </c>
      <c r="J128">
        <f>装備閲覧!O128</f>
        <v>2</v>
      </c>
      <c r="K128">
        <f>装備閲覧!P128</f>
        <v>0</v>
      </c>
      <c r="L128">
        <f>装備閲覧!R128</f>
        <v>7</v>
      </c>
      <c r="M128">
        <f>装備閲覧!S128</f>
        <v>0</v>
      </c>
      <c r="N128" t="str">
        <f>装備閲覧!T128</f>
        <v>短</v>
      </c>
      <c r="O128">
        <f>装備閲覧!AA128</f>
        <v>0</v>
      </c>
      <c r="P128" s="1" t="str">
        <f>IFERROR(IFERROR(VLOOKUP(C128,改修!A:B,2,0),_xlfn.NUMBERVALUE(VLOOKUP(C128,特殊改修値!C:D,2,0))),"×")</f>
        <v>×</v>
      </c>
      <c r="Q128" t="str">
        <f>IFERROR(VLOOKUP(C128,装備ボーナス!B:C,2,0),"×")</f>
        <v>×</v>
      </c>
      <c r="R128" t="str">
        <f>VLOOKUP(A128,wikiName!A:B,2,0)</f>
        <v>試製FaT仕様九五式酸素魚雷改</v>
      </c>
    </row>
    <row r="129" spans="1:18" x14ac:dyDescent="0.4">
      <c r="A129">
        <f>装備閲覧!B129</f>
        <v>128</v>
      </c>
      <c r="B129" t="str">
        <f>装備閲覧!C129</f>
        <v>大口径主砲</v>
      </c>
      <c r="C129" t="str">
        <f>装備閲覧!D129</f>
        <v>試製51cm連装砲</v>
      </c>
      <c r="D129">
        <f>装備閲覧!H129</f>
        <v>3</v>
      </c>
      <c r="E129">
        <f>装備閲覧!J129</f>
        <v>30</v>
      </c>
      <c r="F129">
        <f>装備閲覧!K129</f>
        <v>0</v>
      </c>
      <c r="G129">
        <f>装備閲覧!L129</f>
        <v>5</v>
      </c>
      <c r="H129">
        <f>装備閲覧!M129</f>
        <v>0</v>
      </c>
      <c r="I129">
        <f>装備閲覧!N129</f>
        <v>0</v>
      </c>
      <c r="J129">
        <f>装備閲覧!O129</f>
        <v>-1</v>
      </c>
      <c r="K129">
        <f>装備閲覧!P129</f>
        <v>0</v>
      </c>
      <c r="L129">
        <f>装備閲覧!R129</f>
        <v>1</v>
      </c>
      <c r="M129">
        <f>装備閲覧!S129</f>
        <v>0</v>
      </c>
      <c r="N129" t="str">
        <f>装備閲覧!T129</f>
        <v>超長</v>
      </c>
      <c r="O129">
        <f>装備閲覧!AA129</f>
        <v>0</v>
      </c>
      <c r="P129" s="1" t="str">
        <f>IFERROR(IFERROR(VLOOKUP(C129,改修!A:B,2,0),_xlfn.NUMBERVALUE(VLOOKUP(C129,特殊改修値!C:D,2,0))),"×")</f>
        <v>〇</v>
      </c>
      <c r="Q129" t="str">
        <f>IFERROR(VLOOKUP(C129,装備ボーナス!B:C,2,0),"×")</f>
        <v>×</v>
      </c>
      <c r="R129" t="str">
        <f>VLOOKUP(A129,wikiName!A:B,2,0)</f>
        <v>試製51cm連装砲</v>
      </c>
    </row>
    <row r="130" spans="1:18" x14ac:dyDescent="0.4">
      <c r="A130">
        <f>装備閲覧!B130</f>
        <v>129</v>
      </c>
      <c r="B130" t="str">
        <f>装備閲覧!C130</f>
        <v>水上艦要員</v>
      </c>
      <c r="C130" t="str">
        <f>装備閲覧!D130</f>
        <v>熟練見張員</v>
      </c>
      <c r="D130">
        <f>装備閲覧!H130</f>
        <v>32</v>
      </c>
      <c r="E130">
        <f>装備閲覧!J130</f>
        <v>0</v>
      </c>
      <c r="F130">
        <f>装備閲覧!K130</f>
        <v>0</v>
      </c>
      <c r="G130">
        <f>装備閲覧!L130</f>
        <v>1</v>
      </c>
      <c r="H130">
        <f>装備閲覧!M130</f>
        <v>0</v>
      </c>
      <c r="I130">
        <f>装備閲覧!N130</f>
        <v>0</v>
      </c>
      <c r="J130">
        <f>装備閲覧!O130</f>
        <v>3</v>
      </c>
      <c r="K130">
        <f>装備閲覧!P130</f>
        <v>2</v>
      </c>
      <c r="L130">
        <f>装備閲覧!R130</f>
        <v>2</v>
      </c>
      <c r="M130">
        <f>装備閲覧!S130</f>
        <v>0</v>
      </c>
      <c r="N130" t="str">
        <f>装備閲覧!T130</f>
        <v>無</v>
      </c>
      <c r="O130">
        <f>装備閲覧!AA130</f>
        <v>0</v>
      </c>
      <c r="P130" s="1" t="str">
        <f>IFERROR(IFERROR(VLOOKUP(C130,改修!A:B,2,0),_xlfn.NUMBERVALUE(VLOOKUP(C130,特殊改修値!C:D,2,0))),"×")</f>
        <v>×</v>
      </c>
      <c r="Q130" t="str">
        <f>IFERROR(VLOOKUP(C130,装備ボーナス!B:C,2,0),"×")</f>
        <v>〇</v>
      </c>
      <c r="R130" t="str">
        <f>VLOOKUP(A130,wikiName!A:B,2,0)</f>
        <v>熟練見張員</v>
      </c>
    </row>
    <row r="131" spans="1:18" x14ac:dyDescent="0.4">
      <c r="A131">
        <f>装備閲覧!B131</f>
        <v>130</v>
      </c>
      <c r="B131" t="str">
        <f>装備閲覧!C131</f>
        <v>副砲</v>
      </c>
      <c r="C131" t="str">
        <f>装備閲覧!D131</f>
        <v>12.7cm高角砲+高射装置</v>
      </c>
      <c r="D131">
        <f>装備閲覧!H131</f>
        <v>16</v>
      </c>
      <c r="E131">
        <f>装備閲覧!J131</f>
        <v>1</v>
      </c>
      <c r="F131">
        <f>装備閲覧!K131</f>
        <v>0</v>
      </c>
      <c r="G131">
        <f>装備閲覧!L131</f>
        <v>8</v>
      </c>
      <c r="H131">
        <f>装備閲覧!M131</f>
        <v>0</v>
      </c>
      <c r="I131">
        <f>装備閲覧!N131</f>
        <v>0</v>
      </c>
      <c r="J131">
        <f>装備閲覧!O131</f>
        <v>1</v>
      </c>
      <c r="K131">
        <f>装備閲覧!P131</f>
        <v>0</v>
      </c>
      <c r="L131">
        <f>装備閲覧!R131</f>
        <v>1</v>
      </c>
      <c r="M131">
        <f>装備閲覧!S131</f>
        <v>0</v>
      </c>
      <c r="N131" t="str">
        <f>装備閲覧!T131</f>
        <v>短</v>
      </c>
      <c r="O131">
        <f>装備閲覧!AA131</f>
        <v>0</v>
      </c>
      <c r="P131" s="1" t="str">
        <f>IFERROR(IFERROR(VLOOKUP(C131,改修!A:B,2,0),_xlfn.NUMBERVALUE(VLOOKUP(C131,特殊改修値!C:D,2,0))),"×")</f>
        <v>×</v>
      </c>
      <c r="Q131" t="str">
        <f>IFERROR(VLOOKUP(C131,装備ボーナス!B:C,2,0),"×")</f>
        <v>×</v>
      </c>
      <c r="R131" t="str">
        <f>VLOOKUP(A131,wikiName!A:B,2,0)</f>
        <v>12.7cm高角砲＋高射装置</v>
      </c>
    </row>
    <row r="132" spans="1:18" x14ac:dyDescent="0.4">
      <c r="A132">
        <f>装備閲覧!B132</f>
        <v>131</v>
      </c>
      <c r="B132" t="str">
        <f>装備閲覧!C132</f>
        <v>対空機銃</v>
      </c>
      <c r="C132" t="str">
        <f>装備閲覧!D132</f>
        <v>25mm三連装機銃 集中配備</v>
      </c>
      <c r="D132">
        <f>装備閲覧!H132</f>
        <v>15</v>
      </c>
      <c r="E132">
        <f>装備閲覧!J132</f>
        <v>0</v>
      </c>
      <c r="F132">
        <f>装備閲覧!K132</f>
        <v>0</v>
      </c>
      <c r="G132">
        <f>装備閲覧!L132</f>
        <v>9</v>
      </c>
      <c r="H132">
        <f>装備閲覧!M132</f>
        <v>0</v>
      </c>
      <c r="I132">
        <f>装備閲覧!N132</f>
        <v>0</v>
      </c>
      <c r="J132">
        <f>装備閲覧!O132</f>
        <v>1</v>
      </c>
      <c r="K132">
        <f>装備閲覧!P132</f>
        <v>0</v>
      </c>
      <c r="L132">
        <f>装備閲覧!R132</f>
        <v>0</v>
      </c>
      <c r="M132">
        <f>装備閲覧!S132</f>
        <v>0</v>
      </c>
      <c r="N132" t="str">
        <f>装備閲覧!T132</f>
        <v>無</v>
      </c>
      <c r="O132">
        <f>装備閲覧!AA132</f>
        <v>0</v>
      </c>
      <c r="P132" s="1" t="str">
        <f>IFERROR(IFERROR(VLOOKUP(C132,改修!A:B,2,0),_xlfn.NUMBERVALUE(VLOOKUP(C132,特殊改修値!C:D,2,0))),"×")</f>
        <v>〇</v>
      </c>
      <c r="Q132" t="str">
        <f>IFERROR(VLOOKUP(C132,装備ボーナス!B:C,2,0),"×")</f>
        <v>×</v>
      </c>
      <c r="R132" t="str">
        <f>VLOOKUP(A132,wikiName!A:B,2,0)</f>
        <v>25mm三連装機銃 集中配備</v>
      </c>
    </row>
    <row r="133" spans="1:18" x14ac:dyDescent="0.4">
      <c r="A133">
        <f>装備閲覧!B133</f>
        <v>132</v>
      </c>
      <c r="B133" t="str">
        <f>装備閲覧!C133</f>
        <v>大型ソナー</v>
      </c>
      <c r="C133" t="str">
        <f>装備閲覧!D133</f>
        <v>零式水中聴音機</v>
      </c>
      <c r="D133">
        <f>装備閲覧!H133</f>
        <v>18</v>
      </c>
      <c r="E133">
        <f>装備閲覧!J133</f>
        <v>0</v>
      </c>
      <c r="F133">
        <f>装備閲覧!K133</f>
        <v>0</v>
      </c>
      <c r="G133">
        <f>装備閲覧!L133</f>
        <v>0</v>
      </c>
      <c r="H133">
        <f>装備閲覧!M133</f>
        <v>0</v>
      </c>
      <c r="I133">
        <f>装備閲覧!N133</f>
        <v>11</v>
      </c>
      <c r="J133">
        <f>装備閲覧!O133</f>
        <v>1</v>
      </c>
      <c r="K133">
        <f>装備閲覧!P133</f>
        <v>1</v>
      </c>
      <c r="L133">
        <f>装備閲覧!R133</f>
        <v>1</v>
      </c>
      <c r="M133">
        <f>装備閲覧!S133</f>
        <v>0</v>
      </c>
      <c r="N133" t="str">
        <f>装備閲覧!T133</f>
        <v>無</v>
      </c>
      <c r="O133">
        <f>装備閲覧!AA133</f>
        <v>0</v>
      </c>
      <c r="P133" s="1" t="str">
        <f>IFERROR(IFERROR(VLOOKUP(C133,改修!A:B,2,0),_xlfn.NUMBERVALUE(VLOOKUP(C133,特殊改修値!C:D,2,0))),"×")</f>
        <v>×</v>
      </c>
      <c r="Q133" t="str">
        <f>IFERROR(VLOOKUP(C133,装備ボーナス!B:C,2,0),"×")</f>
        <v>×</v>
      </c>
      <c r="R133" t="str">
        <f>VLOOKUP(A133,wikiName!A:B,2,0)</f>
        <v>零式水中聴音機</v>
      </c>
    </row>
    <row r="134" spans="1:18" x14ac:dyDescent="0.4">
      <c r="A134">
        <f>装備閲覧!B134</f>
        <v>133</v>
      </c>
      <c r="B134" t="str">
        <f>装備閲覧!C134</f>
        <v>大口径主砲</v>
      </c>
      <c r="C134" t="str">
        <f>装備閲覧!D134</f>
        <v>381mm/50 三連装砲</v>
      </c>
      <c r="D134">
        <f>装備閲覧!H134</f>
        <v>3</v>
      </c>
      <c r="E134">
        <f>装備閲覧!J134</f>
        <v>20</v>
      </c>
      <c r="F134">
        <f>装備閲覧!K134</f>
        <v>0</v>
      </c>
      <c r="G134">
        <f>装備閲覧!L134</f>
        <v>2</v>
      </c>
      <c r="H134">
        <f>装備閲覧!M134</f>
        <v>0</v>
      </c>
      <c r="I134">
        <f>装備閲覧!N134</f>
        <v>0</v>
      </c>
      <c r="J134">
        <f>装備閲覧!O134</f>
        <v>-1</v>
      </c>
      <c r="K134">
        <f>装備閲覧!P134</f>
        <v>0</v>
      </c>
      <c r="L134">
        <f>装備閲覧!R134</f>
        <v>-3</v>
      </c>
      <c r="M134">
        <f>装備閲覧!S134</f>
        <v>0</v>
      </c>
      <c r="N134" t="str">
        <f>装備閲覧!T134</f>
        <v>超長</v>
      </c>
      <c r="O134">
        <f>装備閲覧!AA134</f>
        <v>0</v>
      </c>
      <c r="P134" s="1" t="str">
        <f>IFERROR(IFERROR(VLOOKUP(C134,改修!A:B,2,0),_xlfn.NUMBERVALUE(VLOOKUP(C134,特殊改修値!C:D,2,0))),"×")</f>
        <v>〇</v>
      </c>
      <c r="Q134" t="str">
        <f>IFERROR(VLOOKUP(C134,装備ボーナス!B:C,2,0),"×")</f>
        <v>×</v>
      </c>
      <c r="R134" t="str">
        <f>VLOOKUP(A134,wikiName!A:B,2,0)</f>
        <v>381mm/50 三連装砲</v>
      </c>
    </row>
    <row r="135" spans="1:18" x14ac:dyDescent="0.4">
      <c r="A135">
        <f>装備閲覧!B135</f>
        <v>134</v>
      </c>
      <c r="B135" t="str">
        <f>装備閲覧!C135</f>
        <v>副砲</v>
      </c>
      <c r="C135" t="str">
        <f>装備閲覧!D135</f>
        <v>OTO 152mm三連装速射砲</v>
      </c>
      <c r="D135">
        <f>装備閲覧!H135</f>
        <v>4</v>
      </c>
      <c r="E135">
        <f>装備閲覧!J135</f>
        <v>8</v>
      </c>
      <c r="F135">
        <f>装備閲覧!K135</f>
        <v>0</v>
      </c>
      <c r="G135">
        <f>装備閲覧!L135</f>
        <v>2</v>
      </c>
      <c r="H135">
        <f>装備閲覧!M135</f>
        <v>1</v>
      </c>
      <c r="I135">
        <f>装備閲覧!N135</f>
        <v>0</v>
      </c>
      <c r="J135">
        <f>装備閲覧!O135</f>
        <v>0</v>
      </c>
      <c r="K135">
        <f>装備閲覧!P135</f>
        <v>0</v>
      </c>
      <c r="L135">
        <f>装備閲覧!R135</f>
        <v>1</v>
      </c>
      <c r="M135">
        <f>装備閲覧!S135</f>
        <v>0</v>
      </c>
      <c r="N135" t="str">
        <f>装備閲覧!T135</f>
        <v>中</v>
      </c>
      <c r="O135">
        <f>装備閲覧!AA135</f>
        <v>0</v>
      </c>
      <c r="P135" s="1" t="str">
        <f>IFERROR(IFERROR(VLOOKUP(C135,改修!A:B,2,0),_xlfn.NUMBERVALUE(VLOOKUP(C135,特殊改修値!C:D,2,0))),"×")</f>
        <v>〇</v>
      </c>
      <c r="Q135" t="str">
        <f>IFERROR(VLOOKUP(C135,装備ボーナス!B:C,2,0),"×")</f>
        <v>×</v>
      </c>
      <c r="R135" t="str">
        <f>VLOOKUP(A135,wikiName!A:B,2,0)</f>
        <v>OTO 152mm三連装速射砲</v>
      </c>
    </row>
    <row r="136" spans="1:18" x14ac:dyDescent="0.4">
      <c r="A136">
        <f>装備閲覧!B136</f>
        <v>135</v>
      </c>
      <c r="B136" t="str">
        <f>装備閲覧!C136</f>
        <v>副砲</v>
      </c>
      <c r="C136" t="str">
        <f>装備閲覧!D136</f>
        <v>90mm単装高角砲</v>
      </c>
      <c r="D136">
        <f>装備閲覧!H136</f>
        <v>16</v>
      </c>
      <c r="E136">
        <f>装備閲覧!J136</f>
        <v>1</v>
      </c>
      <c r="F136">
        <f>装備閲覧!K136</f>
        <v>0</v>
      </c>
      <c r="G136">
        <f>装備閲覧!L136</f>
        <v>8</v>
      </c>
      <c r="H136">
        <f>装備閲覧!M136</f>
        <v>0</v>
      </c>
      <c r="I136">
        <f>装備閲覧!N136</f>
        <v>0</v>
      </c>
      <c r="J136">
        <f>装備閲覧!O136</f>
        <v>0</v>
      </c>
      <c r="K136">
        <f>装備閲覧!P136</f>
        <v>0</v>
      </c>
      <c r="L136">
        <f>装備閲覧!R136</f>
        <v>1</v>
      </c>
      <c r="M136">
        <f>装備閲覧!S136</f>
        <v>0</v>
      </c>
      <c r="N136" t="str">
        <f>装備閲覧!T136</f>
        <v>短</v>
      </c>
      <c r="O136">
        <f>装備閲覧!AA136</f>
        <v>0</v>
      </c>
      <c r="P136" s="1" t="str">
        <f>IFERROR(IFERROR(VLOOKUP(C136,改修!A:B,2,0),_xlfn.NUMBERVALUE(VLOOKUP(C136,特殊改修値!C:D,2,0))),"×")</f>
        <v>〇</v>
      </c>
      <c r="Q136" t="str">
        <f>IFERROR(VLOOKUP(C136,装備ボーナス!B:C,2,0),"×")</f>
        <v>×</v>
      </c>
      <c r="R136" t="str">
        <f>VLOOKUP(A136,wikiName!A:B,2,0)</f>
        <v>90mm単装高角砲</v>
      </c>
    </row>
    <row r="137" spans="1:18" x14ac:dyDescent="0.4">
      <c r="A137">
        <f>装備閲覧!B137</f>
        <v>136</v>
      </c>
      <c r="B137" t="str">
        <f>装備閲覧!C137</f>
        <v>追加装甲(大型)</v>
      </c>
      <c r="C137" t="str">
        <f>装備閲覧!D137</f>
        <v>プリエーゼ式水中防御隔壁</v>
      </c>
      <c r="D137">
        <f>装備閲覧!H137</f>
        <v>23</v>
      </c>
      <c r="E137">
        <f>装備閲覧!J137</f>
        <v>0</v>
      </c>
      <c r="F137">
        <f>装備閲覧!K137</f>
        <v>0</v>
      </c>
      <c r="G137">
        <f>装備閲覧!L137</f>
        <v>0</v>
      </c>
      <c r="H137">
        <f>装備閲覧!M137</f>
        <v>7</v>
      </c>
      <c r="I137">
        <f>装備閲覧!N137</f>
        <v>0</v>
      </c>
      <c r="J137">
        <f>装備閲覧!O137</f>
        <v>-1</v>
      </c>
      <c r="K137">
        <f>装備閲覧!P137</f>
        <v>0</v>
      </c>
      <c r="L137">
        <f>装備閲覧!R137</f>
        <v>0</v>
      </c>
      <c r="M137">
        <f>装備閲覧!S137</f>
        <v>0</v>
      </c>
      <c r="N137" t="str">
        <f>装備閲覧!T137</f>
        <v>無</v>
      </c>
      <c r="O137">
        <f>装備閲覧!AA137</f>
        <v>0</v>
      </c>
      <c r="P137" s="1" t="str">
        <f>IFERROR(IFERROR(VLOOKUP(C137,改修!A:B,2,0),_xlfn.NUMBERVALUE(VLOOKUP(C137,特殊改修値!C:D,2,0))),"×")</f>
        <v>×</v>
      </c>
      <c r="Q137" t="str">
        <f>IFERROR(VLOOKUP(C137,装備ボーナス!B:C,2,0),"×")</f>
        <v>×</v>
      </c>
      <c r="R137" t="str">
        <f>VLOOKUP(A137,wikiName!A:B,2,0)</f>
        <v>プリエーゼ式水中防御隔壁</v>
      </c>
    </row>
    <row r="138" spans="1:18" x14ac:dyDescent="0.4">
      <c r="A138">
        <f>装備閲覧!B138</f>
        <v>137</v>
      </c>
      <c r="B138" t="str">
        <f>装備閲覧!C138</f>
        <v>大口径主砲</v>
      </c>
      <c r="C138" t="str">
        <f>装備閲覧!D138</f>
        <v>381mm/50 三連装砲改</v>
      </c>
      <c r="D138">
        <f>装備閲覧!H138</f>
        <v>3</v>
      </c>
      <c r="E138">
        <f>装備閲覧!J138</f>
        <v>21</v>
      </c>
      <c r="F138">
        <f>装備閲覧!K138</f>
        <v>0</v>
      </c>
      <c r="G138">
        <f>装備閲覧!L138</f>
        <v>4</v>
      </c>
      <c r="H138">
        <f>装備閲覧!M138</f>
        <v>0</v>
      </c>
      <c r="I138">
        <f>装備閲覧!N138</f>
        <v>0</v>
      </c>
      <c r="J138">
        <f>装備閲覧!O138</f>
        <v>-1</v>
      </c>
      <c r="K138">
        <f>装備閲覧!P138</f>
        <v>0</v>
      </c>
      <c r="L138">
        <f>装備閲覧!R138</f>
        <v>-1</v>
      </c>
      <c r="M138">
        <f>装備閲覧!S138</f>
        <v>0</v>
      </c>
      <c r="N138" t="str">
        <f>装備閲覧!T138</f>
        <v>超長</v>
      </c>
      <c r="O138">
        <f>装備閲覧!AA138</f>
        <v>0</v>
      </c>
      <c r="P138" s="1" t="str">
        <f>IFERROR(IFERROR(VLOOKUP(C138,改修!A:B,2,0),_xlfn.NUMBERVALUE(VLOOKUP(C138,特殊改修値!C:D,2,0))),"×")</f>
        <v>〇</v>
      </c>
      <c r="Q138" t="str">
        <f>IFERROR(VLOOKUP(C138,装備ボーナス!B:C,2,0),"×")</f>
        <v>×</v>
      </c>
      <c r="R138" t="str">
        <f>VLOOKUP(A138,wikiName!A:B,2,0)</f>
        <v>381mm/50 三連装砲改</v>
      </c>
    </row>
    <row r="139" spans="1:18" x14ac:dyDescent="0.4">
      <c r="A139">
        <f>装備閲覧!B139</f>
        <v>138</v>
      </c>
      <c r="B139" t="str">
        <f>装備閲覧!C139</f>
        <v>大型飛行艇</v>
      </c>
      <c r="C139" t="str">
        <f>装備閲覧!D139</f>
        <v>二式大艇</v>
      </c>
      <c r="D139">
        <f>装備閲覧!H139</f>
        <v>33</v>
      </c>
      <c r="E139">
        <f>装備閲覧!J139</f>
        <v>0</v>
      </c>
      <c r="F139">
        <f>装備閲覧!K139</f>
        <v>0</v>
      </c>
      <c r="G139">
        <f>装備閲覧!L139</f>
        <v>0</v>
      </c>
      <c r="H139">
        <f>装備閲覧!M139</f>
        <v>0</v>
      </c>
      <c r="I139">
        <f>装備閲覧!N139</f>
        <v>1</v>
      </c>
      <c r="J139">
        <f>装備閲覧!O139</f>
        <v>0</v>
      </c>
      <c r="K139">
        <f>装備閲覧!P139</f>
        <v>12</v>
      </c>
      <c r="L139">
        <f>装備閲覧!R139</f>
        <v>1</v>
      </c>
      <c r="M139">
        <f>装備閲覧!S139</f>
        <v>0</v>
      </c>
      <c r="N139" t="str">
        <f>装備閲覧!T139</f>
        <v>無</v>
      </c>
      <c r="O139">
        <f>装備閲覧!AA139</f>
        <v>20</v>
      </c>
      <c r="P139" s="1">
        <f>IFERROR(IFERROR(VLOOKUP(C139,改修!A:B,2,0),_xlfn.NUMBERVALUE(VLOOKUP(C139,特殊改修値!C:D,2,0))),"×")</f>
        <v>4</v>
      </c>
      <c r="Q139" t="str">
        <f>IFERROR(VLOOKUP(C139,装備ボーナス!B:C,2,0),"×")</f>
        <v>×</v>
      </c>
      <c r="R139" t="str">
        <f>VLOOKUP(A139,wikiName!A:B,2,0)</f>
        <v>二式大艇</v>
      </c>
    </row>
    <row r="140" spans="1:18" x14ac:dyDescent="0.4">
      <c r="A140">
        <f>装備閲覧!B140</f>
        <v>139</v>
      </c>
      <c r="B140" t="str">
        <f>装備閲覧!C140</f>
        <v>中口径主砲</v>
      </c>
      <c r="C140" t="str">
        <f>装備閲覧!D140</f>
        <v>15.2cm連装砲改</v>
      </c>
      <c r="D140">
        <f>装備閲覧!H140</f>
        <v>2</v>
      </c>
      <c r="E140">
        <f>装備閲覧!J140</f>
        <v>6</v>
      </c>
      <c r="F140">
        <f>装備閲覧!K140</f>
        <v>0</v>
      </c>
      <c r="G140">
        <f>装備閲覧!L140</f>
        <v>3</v>
      </c>
      <c r="H140">
        <f>装備閲覧!M140</f>
        <v>0</v>
      </c>
      <c r="I140">
        <f>装備閲覧!N140</f>
        <v>0</v>
      </c>
      <c r="J140">
        <f>装備閲覧!O140</f>
        <v>0</v>
      </c>
      <c r="K140">
        <f>装備閲覧!P140</f>
        <v>0</v>
      </c>
      <c r="L140">
        <f>装備閲覧!R140</f>
        <v>4</v>
      </c>
      <c r="M140">
        <f>装備閲覧!S140</f>
        <v>0</v>
      </c>
      <c r="N140" t="str">
        <f>装備閲覧!T140</f>
        <v>中</v>
      </c>
      <c r="O140">
        <f>装備閲覧!AA140</f>
        <v>0</v>
      </c>
      <c r="P140" s="1" t="str">
        <f>IFERROR(IFERROR(VLOOKUP(C140,改修!A:B,2,0),_xlfn.NUMBERVALUE(VLOOKUP(C140,特殊改修値!C:D,2,0))),"×")</f>
        <v>〇</v>
      </c>
      <c r="Q140" t="str">
        <f>IFERROR(VLOOKUP(C140,装備ボーナス!B:C,2,0),"×")</f>
        <v>×</v>
      </c>
      <c r="R140" t="str">
        <f>VLOOKUP(A140,wikiName!A:B,2,0)</f>
        <v>15.2cm連装砲改</v>
      </c>
    </row>
    <row r="141" spans="1:18" x14ac:dyDescent="0.4">
      <c r="A141">
        <f>装備閲覧!B141</f>
        <v>140</v>
      </c>
      <c r="B141" t="str">
        <f>装備閲覧!C141</f>
        <v>大型探照灯</v>
      </c>
      <c r="C141" t="str">
        <f>装備閲覧!D141</f>
        <v>96式150cm探照灯</v>
      </c>
      <c r="D141">
        <f>装備閲覧!H141</f>
        <v>24</v>
      </c>
      <c r="E141">
        <f>装備閲覧!J141</f>
        <v>0</v>
      </c>
      <c r="F141">
        <f>装備閲覧!K141</f>
        <v>0</v>
      </c>
      <c r="G141">
        <f>装備閲覧!L141</f>
        <v>1</v>
      </c>
      <c r="H141">
        <f>装備閲覧!M141</f>
        <v>0</v>
      </c>
      <c r="I141">
        <f>装備閲覧!N141</f>
        <v>0</v>
      </c>
      <c r="J141">
        <f>装備閲覧!O141</f>
        <v>0</v>
      </c>
      <c r="K141">
        <f>装備閲覧!P141</f>
        <v>3</v>
      </c>
      <c r="L141">
        <f>装備閲覧!R141</f>
        <v>0</v>
      </c>
      <c r="M141">
        <f>装備閲覧!S141</f>
        <v>0</v>
      </c>
      <c r="N141" t="str">
        <f>装備閲覧!T141</f>
        <v>無</v>
      </c>
      <c r="O141">
        <f>装備閲覧!AA141</f>
        <v>0</v>
      </c>
      <c r="P141" s="1" t="str">
        <f>IFERROR(IFERROR(VLOOKUP(C141,改修!A:B,2,0),_xlfn.NUMBERVALUE(VLOOKUP(C141,特殊改修値!C:D,2,0))),"×")</f>
        <v>〇</v>
      </c>
      <c r="Q141" t="str">
        <f>IFERROR(VLOOKUP(C141,装備ボーナス!B:C,2,0),"×")</f>
        <v>〇</v>
      </c>
      <c r="R141" t="str">
        <f>VLOOKUP(A141,wikiName!A:B,2,0)</f>
        <v>96式150cm探照灯</v>
      </c>
    </row>
    <row r="142" spans="1:18" x14ac:dyDescent="0.4">
      <c r="A142">
        <f>装備閲覧!B142</f>
        <v>141</v>
      </c>
      <c r="B142" t="str">
        <f>装備閲覧!C142</f>
        <v>大型電探</v>
      </c>
      <c r="C142" t="str">
        <f>装備閲覧!D142</f>
        <v>32号対水上電探改</v>
      </c>
      <c r="D142">
        <f>装備閲覧!H142</f>
        <v>11</v>
      </c>
      <c r="E142">
        <f>装備閲覧!J142</f>
        <v>0</v>
      </c>
      <c r="F142">
        <f>装備閲覧!K142</f>
        <v>0</v>
      </c>
      <c r="G142">
        <f>装備閲覧!L142</f>
        <v>0</v>
      </c>
      <c r="H142">
        <f>装備閲覧!M142</f>
        <v>0</v>
      </c>
      <c r="I142">
        <f>装備閲覧!N142</f>
        <v>0</v>
      </c>
      <c r="J142">
        <f>装備閲覧!O142</f>
        <v>0</v>
      </c>
      <c r="K142">
        <f>装備閲覧!P142</f>
        <v>11</v>
      </c>
      <c r="L142">
        <f>装備閲覧!R142</f>
        <v>9</v>
      </c>
      <c r="M142">
        <f>装備閲覧!S142</f>
        <v>0</v>
      </c>
      <c r="N142" t="str">
        <f>装備閲覧!T142</f>
        <v>無</v>
      </c>
      <c r="O142">
        <f>装備閲覧!AA142</f>
        <v>0</v>
      </c>
      <c r="P142" s="1" t="str">
        <f>IFERROR(IFERROR(VLOOKUP(C142,改修!A:B,2,0),_xlfn.NUMBERVALUE(VLOOKUP(C142,特殊改修値!C:D,2,0))),"×")</f>
        <v>〇</v>
      </c>
      <c r="Q142" t="str">
        <f>IFERROR(VLOOKUP(C142,装備ボーナス!B:C,2,0),"×")</f>
        <v>×</v>
      </c>
      <c r="R142" t="str">
        <f>VLOOKUP(A142,wikiName!A:B,2,0)</f>
        <v>32号対水上電探改</v>
      </c>
    </row>
    <row r="143" spans="1:18" x14ac:dyDescent="0.4">
      <c r="A143">
        <f>装備閲覧!B143</f>
        <v>142</v>
      </c>
      <c r="B143" t="str">
        <f>装備閲覧!C143</f>
        <v>大型電探</v>
      </c>
      <c r="C143" t="str">
        <f>装備閲覧!D143</f>
        <v>15m二重測距儀+21号電探改二</v>
      </c>
      <c r="D143">
        <f>装備閲覧!H143</f>
        <v>11</v>
      </c>
      <c r="E143">
        <f>装備閲覧!J143</f>
        <v>1</v>
      </c>
      <c r="F143">
        <f>装備閲覧!K143</f>
        <v>0</v>
      </c>
      <c r="G143">
        <f>装備閲覧!L143</f>
        <v>8</v>
      </c>
      <c r="H143">
        <f>装備閲覧!M143</f>
        <v>1</v>
      </c>
      <c r="I143">
        <f>装備閲覧!N143</f>
        <v>0</v>
      </c>
      <c r="J143">
        <f>装備閲覧!O143</f>
        <v>1</v>
      </c>
      <c r="K143">
        <f>装備閲覧!P143</f>
        <v>7</v>
      </c>
      <c r="L143">
        <f>装備閲覧!R143</f>
        <v>9</v>
      </c>
      <c r="M143">
        <f>装備閲覧!S143</f>
        <v>0</v>
      </c>
      <c r="N143" t="str">
        <f>装備閲覧!T143</f>
        <v>無</v>
      </c>
      <c r="O143">
        <f>装備閲覧!AA143</f>
        <v>0</v>
      </c>
      <c r="P143" s="1" t="str">
        <f>IFERROR(IFERROR(VLOOKUP(C143,改修!A:B,2,0),_xlfn.NUMBERVALUE(VLOOKUP(C143,特殊改修値!C:D,2,0))),"×")</f>
        <v>×</v>
      </c>
      <c r="Q143" t="str">
        <f>IFERROR(VLOOKUP(C143,装備ボーナス!B:C,2,0),"×")</f>
        <v>×</v>
      </c>
      <c r="R143" t="str">
        <f>VLOOKUP(A143,wikiName!A:B,2,0)</f>
        <v>15m二重測距儀＋21号電探改二</v>
      </c>
    </row>
    <row r="144" spans="1:18" x14ac:dyDescent="0.4">
      <c r="A144">
        <f>装備閲覧!B144</f>
        <v>143</v>
      </c>
      <c r="B144" t="str">
        <f>装備閲覧!C144</f>
        <v>艦上攻撃機</v>
      </c>
      <c r="C144" t="str">
        <f>装備閲覧!D144</f>
        <v>九七式艦攻(村田隊)</v>
      </c>
      <c r="D144">
        <f>装備閲覧!H144</f>
        <v>8</v>
      </c>
      <c r="E144">
        <f>装備閲覧!J144</f>
        <v>0</v>
      </c>
      <c r="F144">
        <f>装備閲覧!K144</f>
        <v>12</v>
      </c>
      <c r="G144">
        <f>装備閲覧!L144</f>
        <v>1</v>
      </c>
      <c r="H144">
        <f>装備閲覧!M144</f>
        <v>0</v>
      </c>
      <c r="I144">
        <f>装備閲覧!N144</f>
        <v>5</v>
      </c>
      <c r="J144">
        <f>装備閲覧!O144</f>
        <v>0</v>
      </c>
      <c r="K144">
        <f>装備閲覧!P144</f>
        <v>4</v>
      </c>
      <c r="L144">
        <f>装備閲覧!R144</f>
        <v>2</v>
      </c>
      <c r="M144">
        <f>装備閲覧!S144</f>
        <v>0</v>
      </c>
      <c r="N144" t="str">
        <f>装備閲覧!T144</f>
        <v>無</v>
      </c>
      <c r="O144">
        <f>装備閲覧!AA144</f>
        <v>4</v>
      </c>
      <c r="P144" s="1">
        <f>IFERROR(IFERROR(VLOOKUP(C144,改修!A:B,2,0),_xlfn.NUMBERVALUE(VLOOKUP(C144,特殊改修値!C:D,2,0))),"×")</f>
        <v>2</v>
      </c>
      <c r="Q144" t="str">
        <f>IFERROR(VLOOKUP(C144,装備ボーナス!B:C,2,0),"×")</f>
        <v>〇</v>
      </c>
      <c r="R144" t="str">
        <f>VLOOKUP(A144,wikiName!A:B,2,0)</f>
        <v>九七式艦攻(村田隊)</v>
      </c>
    </row>
    <row r="145" spans="1:18" x14ac:dyDescent="0.4">
      <c r="A145">
        <f>装備閲覧!B145</f>
        <v>144</v>
      </c>
      <c r="B145" t="str">
        <f>装備閲覧!C145</f>
        <v>艦上攻撃機</v>
      </c>
      <c r="C145" t="str">
        <f>装備閲覧!D145</f>
        <v>天山一二型(村田隊)</v>
      </c>
      <c r="D145">
        <f>装備閲覧!H145</f>
        <v>8</v>
      </c>
      <c r="E145">
        <f>装備閲覧!J145</f>
        <v>0</v>
      </c>
      <c r="F145">
        <f>装備閲覧!K145</f>
        <v>15</v>
      </c>
      <c r="G145">
        <f>装備閲覧!L145</f>
        <v>1</v>
      </c>
      <c r="H145">
        <f>装備閲覧!M145</f>
        <v>0</v>
      </c>
      <c r="I145">
        <f>装備閲覧!N145</f>
        <v>6</v>
      </c>
      <c r="J145">
        <f>装備閲覧!O145</f>
        <v>0</v>
      </c>
      <c r="K145">
        <f>装備閲覧!P145</f>
        <v>4</v>
      </c>
      <c r="L145">
        <f>装備閲覧!R145</f>
        <v>2</v>
      </c>
      <c r="M145">
        <f>装備閲覧!S145</f>
        <v>0</v>
      </c>
      <c r="N145" t="str">
        <f>装備閲覧!T145</f>
        <v>無</v>
      </c>
      <c r="O145">
        <f>装備閲覧!AA145</f>
        <v>5</v>
      </c>
      <c r="P145" s="1">
        <f>IFERROR(IFERROR(VLOOKUP(C145,改修!A:B,2,0),_xlfn.NUMBERVALUE(VLOOKUP(C145,特殊改修値!C:D,2,0))),"×")</f>
        <v>2</v>
      </c>
      <c r="Q145" t="str">
        <f>IFERROR(VLOOKUP(C145,装備ボーナス!B:C,2,0),"×")</f>
        <v>〇</v>
      </c>
      <c r="R145" t="str">
        <f>VLOOKUP(A145,wikiName!A:B,2,0)</f>
        <v>天山(村田隊)</v>
      </c>
    </row>
    <row r="146" spans="1:18" x14ac:dyDescent="0.4">
      <c r="A146">
        <f>装備閲覧!B146</f>
        <v>145</v>
      </c>
      <c r="B146" t="str">
        <f>装備閲覧!C146</f>
        <v>戦闘糧食</v>
      </c>
      <c r="C146" t="str">
        <f>装備閲覧!D146</f>
        <v>戦闘糧食</v>
      </c>
      <c r="D146">
        <f>装備閲覧!H146</f>
        <v>34</v>
      </c>
      <c r="E146">
        <f>装備閲覧!J146</f>
        <v>0</v>
      </c>
      <c r="F146">
        <f>装備閲覧!K146</f>
        <v>0</v>
      </c>
      <c r="G146">
        <f>装備閲覧!L146</f>
        <v>0</v>
      </c>
      <c r="H146">
        <f>装備閲覧!M146</f>
        <v>0</v>
      </c>
      <c r="I146">
        <f>装備閲覧!N146</f>
        <v>0</v>
      </c>
      <c r="J146">
        <f>装備閲覧!O146</f>
        <v>0</v>
      </c>
      <c r="K146">
        <f>装備閲覧!P146</f>
        <v>0</v>
      </c>
      <c r="L146">
        <f>装備閲覧!R146</f>
        <v>0</v>
      </c>
      <c r="M146">
        <f>装備閲覧!S146</f>
        <v>0</v>
      </c>
      <c r="N146" t="str">
        <f>装備閲覧!T146</f>
        <v>無</v>
      </c>
      <c r="O146">
        <f>装備閲覧!AA146</f>
        <v>0</v>
      </c>
      <c r="P146" s="1" t="str">
        <f>IFERROR(IFERROR(VLOOKUP(C146,改修!A:B,2,0),_xlfn.NUMBERVALUE(VLOOKUP(C146,特殊改修値!C:D,2,0))),"×")</f>
        <v>〇</v>
      </c>
      <c r="Q146" t="str">
        <f>IFERROR(VLOOKUP(C146,装備ボーナス!B:C,2,0),"×")</f>
        <v>×</v>
      </c>
      <c r="R146" t="str">
        <f>VLOOKUP(A146,wikiName!A:B,2,0)</f>
        <v>戦闘糧食</v>
      </c>
    </row>
    <row r="147" spans="1:18" x14ac:dyDescent="0.4">
      <c r="A147">
        <f>装備閲覧!B147</f>
        <v>146</v>
      </c>
      <c r="B147" t="str">
        <f>装備閲覧!C147</f>
        <v>補給物資</v>
      </c>
      <c r="C147" t="str">
        <f>装備閲覧!D147</f>
        <v>洋上補給</v>
      </c>
      <c r="D147">
        <f>装備閲覧!H147</f>
        <v>35</v>
      </c>
      <c r="E147">
        <f>装備閲覧!J147</f>
        <v>0</v>
      </c>
      <c r="F147">
        <f>装備閲覧!K147</f>
        <v>0</v>
      </c>
      <c r="G147">
        <f>装備閲覧!L147</f>
        <v>0</v>
      </c>
      <c r="H147">
        <f>装備閲覧!M147</f>
        <v>-2</v>
      </c>
      <c r="I147">
        <f>装備閲覧!N147</f>
        <v>0</v>
      </c>
      <c r="J147">
        <f>装備閲覧!O147</f>
        <v>0</v>
      </c>
      <c r="K147">
        <f>装備閲覧!P147</f>
        <v>0</v>
      </c>
      <c r="L147">
        <f>装備閲覧!R147</f>
        <v>0</v>
      </c>
      <c r="M147">
        <f>装備閲覧!S147</f>
        <v>0</v>
      </c>
      <c r="N147" t="str">
        <f>装備閲覧!T147</f>
        <v>無</v>
      </c>
      <c r="O147">
        <f>装備閲覧!AA147</f>
        <v>0</v>
      </c>
      <c r="P147" s="1" t="str">
        <f>IFERROR(IFERROR(VLOOKUP(C147,改修!A:B,2,0),_xlfn.NUMBERVALUE(VLOOKUP(C147,特殊改修値!C:D,2,0))),"×")</f>
        <v>×</v>
      </c>
      <c r="Q147" t="str">
        <f>IFERROR(VLOOKUP(C147,装備ボーナス!B:C,2,0),"×")</f>
        <v>×</v>
      </c>
      <c r="R147" t="str">
        <f>VLOOKUP(A147,wikiName!A:B,2,0)</f>
        <v>洋上補給</v>
      </c>
    </row>
    <row r="148" spans="1:18" x14ac:dyDescent="0.4">
      <c r="A148">
        <f>装備閲覧!B148</f>
        <v>147</v>
      </c>
      <c r="B148" t="str">
        <f>装備閲覧!C148</f>
        <v>小口径主砲</v>
      </c>
      <c r="C148" t="str">
        <f>装備閲覧!D148</f>
        <v>120mm/50 連装砲</v>
      </c>
      <c r="D148">
        <f>装備閲覧!H148</f>
        <v>1</v>
      </c>
      <c r="E148">
        <f>装備閲覧!J148</f>
        <v>3</v>
      </c>
      <c r="F148">
        <f>装備閲覧!K148</f>
        <v>0</v>
      </c>
      <c r="G148">
        <f>装備閲覧!L148</f>
        <v>2</v>
      </c>
      <c r="H148">
        <f>装備閲覧!M148</f>
        <v>0</v>
      </c>
      <c r="I148">
        <f>装備閲覧!N148</f>
        <v>0</v>
      </c>
      <c r="J148">
        <f>装備閲覧!O148</f>
        <v>0</v>
      </c>
      <c r="K148">
        <f>装備閲覧!P148</f>
        <v>0</v>
      </c>
      <c r="L148">
        <f>装備閲覧!R148</f>
        <v>1</v>
      </c>
      <c r="M148">
        <f>装備閲覧!S148</f>
        <v>0</v>
      </c>
      <c r="N148" t="str">
        <f>装備閲覧!T148</f>
        <v>短</v>
      </c>
      <c r="O148">
        <f>装備閲覧!AA148</f>
        <v>0</v>
      </c>
      <c r="P148" s="1" t="str">
        <f>IFERROR(IFERROR(VLOOKUP(C148,改修!A:B,2,0),_xlfn.NUMBERVALUE(VLOOKUP(C148,特殊改修値!C:D,2,0))),"×")</f>
        <v>×</v>
      </c>
      <c r="Q148" t="str">
        <f>IFERROR(VLOOKUP(C148,装備ボーナス!B:C,2,0),"×")</f>
        <v>〇</v>
      </c>
      <c r="R148" t="str">
        <f>VLOOKUP(A148,wikiName!A:B,2,0)</f>
        <v>120mm／50 連装砲</v>
      </c>
    </row>
    <row r="149" spans="1:18" x14ac:dyDescent="0.4">
      <c r="A149">
        <f>装備閲覧!B149</f>
        <v>148</v>
      </c>
      <c r="B149" t="str">
        <f>装備閲覧!C149</f>
        <v>艦上爆撃機</v>
      </c>
      <c r="C149" t="str">
        <f>装備閲覧!D149</f>
        <v>試製南山</v>
      </c>
      <c r="D149">
        <f>装備閲覧!H149</f>
        <v>7</v>
      </c>
      <c r="E149">
        <f>装備閲覧!J149</f>
        <v>0</v>
      </c>
      <c r="F149">
        <f>装備閲覧!K149</f>
        <v>0</v>
      </c>
      <c r="G149">
        <f>装備閲覧!L149</f>
        <v>1</v>
      </c>
      <c r="H149">
        <f>装備閲覧!M149</f>
        <v>0</v>
      </c>
      <c r="I149">
        <f>装備閲覧!N149</f>
        <v>4</v>
      </c>
      <c r="J149">
        <f>装備閲覧!O149</f>
        <v>0</v>
      </c>
      <c r="K149">
        <f>装備閲覧!P149</f>
        <v>2</v>
      </c>
      <c r="L149">
        <f>装備閲覧!R149</f>
        <v>0</v>
      </c>
      <c r="M149">
        <f>装備閲覧!S149</f>
        <v>11</v>
      </c>
      <c r="N149" t="str">
        <f>装備閲覧!T149</f>
        <v>無</v>
      </c>
      <c r="O149">
        <f>装備閲覧!AA149</f>
        <v>5</v>
      </c>
      <c r="P149" s="1" t="str">
        <f>IFERROR(IFERROR(VLOOKUP(C149,改修!A:B,2,0),_xlfn.NUMBERVALUE(VLOOKUP(C149,特殊改修値!C:D,2,0))),"×")</f>
        <v>×</v>
      </c>
      <c r="Q149" t="str">
        <f>IFERROR(VLOOKUP(C149,装備ボーナス!B:C,2,0),"×")</f>
        <v>×</v>
      </c>
      <c r="R149" t="str">
        <f>VLOOKUP(A149,wikiName!A:B,2,0)</f>
        <v>試製南山</v>
      </c>
    </row>
    <row r="150" spans="1:18" x14ac:dyDescent="0.4">
      <c r="A150">
        <f>装備閲覧!B150</f>
        <v>149</v>
      </c>
      <c r="B150" t="str">
        <f>装備閲覧!C150</f>
        <v>ソナー</v>
      </c>
      <c r="C150" t="str">
        <f>装備閲覧!D150</f>
        <v>四式水中聴音機</v>
      </c>
      <c r="D150">
        <f>装備閲覧!H150</f>
        <v>18</v>
      </c>
      <c r="E150">
        <f>装備閲覧!J150</f>
        <v>0</v>
      </c>
      <c r="F150">
        <f>装備閲覧!K150</f>
        <v>0</v>
      </c>
      <c r="G150">
        <f>装備閲覧!L150</f>
        <v>0</v>
      </c>
      <c r="H150">
        <f>装備閲覧!M150</f>
        <v>1</v>
      </c>
      <c r="I150">
        <f>装備閲覧!N150</f>
        <v>12</v>
      </c>
      <c r="J150">
        <f>装備閲覧!O150</f>
        <v>0</v>
      </c>
      <c r="K150">
        <f>装備閲覧!P150</f>
        <v>0</v>
      </c>
      <c r="L150">
        <f>装備閲覧!R150</f>
        <v>1</v>
      </c>
      <c r="M150">
        <f>装備閲覧!S150</f>
        <v>0</v>
      </c>
      <c r="N150" t="str">
        <f>装備閲覧!T150</f>
        <v>無</v>
      </c>
      <c r="O150">
        <f>装備閲覧!AA150</f>
        <v>0</v>
      </c>
      <c r="P150" s="1" t="str">
        <f>IFERROR(IFERROR(VLOOKUP(C150,改修!A:B,2,0),_xlfn.NUMBERVALUE(VLOOKUP(C150,特殊改修値!C:D,2,0))),"×")</f>
        <v>〇</v>
      </c>
      <c r="Q150" t="str">
        <f>IFERROR(VLOOKUP(C150,装備ボーナス!B:C,2,0),"×")</f>
        <v>〇</v>
      </c>
      <c r="R150" t="str">
        <f>VLOOKUP(A150,wikiName!A:B,2,0)</f>
        <v>四式水中聴音機</v>
      </c>
    </row>
    <row r="151" spans="1:18" x14ac:dyDescent="0.4">
      <c r="A151">
        <f>装備閲覧!B151</f>
        <v>150</v>
      </c>
      <c r="B151" t="str">
        <f>装備閲覧!C151</f>
        <v>戦闘糧食</v>
      </c>
      <c r="C151" t="str">
        <f>装備閲覧!D151</f>
        <v>秋刀魚の缶詰</v>
      </c>
      <c r="D151">
        <f>装備閲覧!H151</f>
        <v>34</v>
      </c>
      <c r="E151">
        <f>装備閲覧!J151</f>
        <v>0</v>
      </c>
      <c r="F151">
        <f>装備閲覧!K151</f>
        <v>0</v>
      </c>
      <c r="G151">
        <f>装備閲覧!L151</f>
        <v>0</v>
      </c>
      <c r="H151">
        <f>装備閲覧!M151</f>
        <v>0</v>
      </c>
      <c r="I151">
        <f>装備閲覧!N151</f>
        <v>0</v>
      </c>
      <c r="J151">
        <f>装備閲覧!O151</f>
        <v>0</v>
      </c>
      <c r="K151">
        <f>装備閲覧!P151</f>
        <v>0</v>
      </c>
      <c r="L151">
        <f>装備閲覧!R151</f>
        <v>0</v>
      </c>
      <c r="M151">
        <f>装備閲覧!S151</f>
        <v>0</v>
      </c>
      <c r="N151" t="str">
        <f>装備閲覧!T151</f>
        <v>無</v>
      </c>
      <c r="O151">
        <f>装備閲覧!AA151</f>
        <v>0</v>
      </c>
      <c r="P151" s="1" t="str">
        <f>IFERROR(IFERROR(VLOOKUP(C151,改修!A:B,2,0),_xlfn.NUMBERVALUE(VLOOKUP(C151,特殊改修値!C:D,2,0))),"×")</f>
        <v>×</v>
      </c>
      <c r="Q151" t="str">
        <f>IFERROR(VLOOKUP(C151,装備ボーナス!B:C,2,0),"×")</f>
        <v>×</v>
      </c>
      <c r="R151" t="str">
        <f>VLOOKUP(A151,wikiName!A:B,2,0)</f>
        <v>秋刀魚の缶詰</v>
      </c>
    </row>
    <row r="152" spans="1:18" x14ac:dyDescent="0.4">
      <c r="A152">
        <f>装備閲覧!B152</f>
        <v>151</v>
      </c>
      <c r="B152" t="str">
        <f>装備閲覧!C152</f>
        <v>艦上偵察機</v>
      </c>
      <c r="C152" t="str">
        <f>装備閲覧!D152</f>
        <v>試製景雲(艦偵型)</v>
      </c>
      <c r="D152">
        <f>装備閲覧!H152</f>
        <v>9</v>
      </c>
      <c r="E152">
        <f>装備閲覧!J152</f>
        <v>2</v>
      </c>
      <c r="F152">
        <f>装備閲覧!K152</f>
        <v>0</v>
      </c>
      <c r="G152">
        <f>装備閲覧!L152</f>
        <v>0</v>
      </c>
      <c r="H152">
        <f>装備閲覧!M152</f>
        <v>0</v>
      </c>
      <c r="I152">
        <f>装備閲覧!N152</f>
        <v>0</v>
      </c>
      <c r="J152">
        <f>装備閲覧!O152</f>
        <v>0</v>
      </c>
      <c r="K152">
        <f>装備閲覧!P152</f>
        <v>11</v>
      </c>
      <c r="L152">
        <f>装備閲覧!R152</f>
        <v>2</v>
      </c>
      <c r="M152">
        <f>装備閲覧!S152</f>
        <v>0</v>
      </c>
      <c r="N152" t="str">
        <f>装備閲覧!T152</f>
        <v>無</v>
      </c>
      <c r="O152">
        <f>装備閲覧!AA152</f>
        <v>8</v>
      </c>
      <c r="P152" s="1" t="str">
        <f>IFERROR(IFERROR(VLOOKUP(C152,改修!A:B,2,0),_xlfn.NUMBERVALUE(VLOOKUP(C152,特殊改修値!C:D,2,0))),"×")</f>
        <v>〇</v>
      </c>
      <c r="Q152" t="str">
        <f>IFERROR(VLOOKUP(C152,装備ボーナス!B:C,2,0),"×")</f>
        <v>〇</v>
      </c>
      <c r="R152" t="str">
        <f>VLOOKUP(A152,wikiName!A:B,2,0)</f>
        <v>試製景雲(艦偵型)</v>
      </c>
    </row>
    <row r="153" spans="1:18" x14ac:dyDescent="0.4">
      <c r="A153">
        <f>装備閲覧!B153</f>
        <v>152</v>
      </c>
      <c r="B153" t="str">
        <f>装備閲覧!C153</f>
        <v>艦上戦闘機</v>
      </c>
      <c r="C153" t="str">
        <f>装備閲覧!D153</f>
        <v>零式艦戦52型(熟練)</v>
      </c>
      <c r="D153">
        <f>装備閲覧!H153</f>
        <v>6</v>
      </c>
      <c r="E153">
        <f>装備閲覧!J153</f>
        <v>0</v>
      </c>
      <c r="F153">
        <f>装備閲覧!K153</f>
        <v>0</v>
      </c>
      <c r="G153">
        <f>装備閲覧!L153</f>
        <v>9</v>
      </c>
      <c r="H153">
        <f>装備閲覧!M153</f>
        <v>0</v>
      </c>
      <c r="I153">
        <f>装備閲覧!N153</f>
        <v>0</v>
      </c>
      <c r="J153">
        <f>装備閲覧!O153</f>
        <v>2</v>
      </c>
      <c r="K153">
        <f>装備閲覧!P153</f>
        <v>1</v>
      </c>
      <c r="L153">
        <f>装備閲覧!R153</f>
        <v>1</v>
      </c>
      <c r="M153">
        <f>装備閲覧!S153</f>
        <v>0</v>
      </c>
      <c r="N153" t="str">
        <f>装備閲覧!T153</f>
        <v>無</v>
      </c>
      <c r="O153">
        <f>装備閲覧!AA153</f>
        <v>6</v>
      </c>
      <c r="P153" s="1" t="str">
        <f>IFERROR(IFERROR(VLOOKUP(C153,改修!A:B,2,0),_xlfn.NUMBERVALUE(VLOOKUP(C153,特殊改修値!C:D,2,0))),"×")</f>
        <v>〇</v>
      </c>
      <c r="Q153" t="str">
        <f>IFERROR(VLOOKUP(C153,装備ボーナス!B:C,2,0),"×")</f>
        <v>×</v>
      </c>
      <c r="R153" t="str">
        <f>VLOOKUP(A153,wikiName!A:B,2,0)</f>
        <v>零式艦戦52型(熟練)</v>
      </c>
    </row>
    <row r="154" spans="1:18" x14ac:dyDescent="0.4">
      <c r="A154">
        <f>装備閲覧!B154</f>
        <v>153</v>
      </c>
      <c r="B154" t="str">
        <f>装備閲覧!C154</f>
        <v>艦上戦闘機</v>
      </c>
      <c r="C154" t="str">
        <f>装備閲覧!D154</f>
        <v>零戦52型丙(付岩井小隊)</v>
      </c>
      <c r="D154">
        <f>装備閲覧!H154</f>
        <v>6</v>
      </c>
      <c r="E154">
        <f>装備閲覧!J154</f>
        <v>0</v>
      </c>
      <c r="F154">
        <f>装備閲覧!K154</f>
        <v>0</v>
      </c>
      <c r="G154">
        <f>装備閲覧!L154</f>
        <v>10</v>
      </c>
      <c r="H154">
        <f>装備閲覧!M154</f>
        <v>0</v>
      </c>
      <c r="I154">
        <f>装備閲覧!N154</f>
        <v>0</v>
      </c>
      <c r="J154">
        <f>装備閲覧!O154</f>
        <v>2</v>
      </c>
      <c r="K154">
        <f>装備閲覧!P154</f>
        <v>1</v>
      </c>
      <c r="L154">
        <f>装備閲覧!R154</f>
        <v>1</v>
      </c>
      <c r="M154">
        <f>装備閲覧!S154</f>
        <v>0</v>
      </c>
      <c r="N154" t="str">
        <f>装備閲覧!T154</f>
        <v>無</v>
      </c>
      <c r="O154">
        <f>装備閲覧!AA154</f>
        <v>6</v>
      </c>
      <c r="P154" s="1" t="str">
        <f>IFERROR(IFERROR(VLOOKUP(C154,改修!A:B,2,0),_xlfn.NUMBERVALUE(VLOOKUP(C154,特殊改修値!C:D,2,0))),"×")</f>
        <v>〇</v>
      </c>
      <c r="Q154" t="str">
        <f>IFERROR(VLOOKUP(C154,装備ボーナス!B:C,2,0),"×")</f>
        <v>×</v>
      </c>
      <c r="R154" t="str">
        <f>VLOOKUP(A154,wikiName!A:B,2,0)</f>
        <v>零戦52型丙(付岩井小隊)</v>
      </c>
    </row>
    <row r="155" spans="1:18" x14ac:dyDescent="0.4">
      <c r="A155">
        <f>装備閲覧!B155</f>
        <v>154</v>
      </c>
      <c r="B155" t="str">
        <f>装備閲覧!C155</f>
        <v>艦上爆撃機</v>
      </c>
      <c r="C155" t="str">
        <f>装備閲覧!D155</f>
        <v>零戦62型(爆戦/岩井隊)</v>
      </c>
      <c r="D155">
        <f>装備閲覧!H155</f>
        <v>7</v>
      </c>
      <c r="E155">
        <f>装備閲覧!J155</f>
        <v>0</v>
      </c>
      <c r="F155">
        <f>装備閲覧!K155</f>
        <v>0</v>
      </c>
      <c r="G155">
        <f>装備閲覧!L155</f>
        <v>7</v>
      </c>
      <c r="H155">
        <f>装備閲覧!M155</f>
        <v>0</v>
      </c>
      <c r="I155">
        <f>装備閲覧!N155</f>
        <v>3</v>
      </c>
      <c r="J155">
        <f>装備閲覧!O155</f>
        <v>2</v>
      </c>
      <c r="K155">
        <f>装備閲覧!P155</f>
        <v>1</v>
      </c>
      <c r="L155">
        <f>装備閲覧!R155</f>
        <v>1</v>
      </c>
      <c r="M155">
        <f>装備閲覧!S155</f>
        <v>4</v>
      </c>
      <c r="N155" t="str">
        <f>装備閲覧!T155</f>
        <v>無</v>
      </c>
      <c r="O155">
        <f>装備閲覧!AA155</f>
        <v>5</v>
      </c>
      <c r="P155" s="1" t="str">
        <f>IFERROR(IFERROR(VLOOKUP(C155,改修!A:B,2,0),_xlfn.NUMBERVALUE(VLOOKUP(C155,特殊改修値!C:D,2,0))),"×")</f>
        <v>〇</v>
      </c>
      <c r="Q155" t="str">
        <f>IFERROR(VLOOKUP(C155,装備ボーナス!B:C,2,0),"×")</f>
        <v>×</v>
      </c>
      <c r="R155" t="str">
        <f>VLOOKUP(A155,wikiName!A:B,2,0)</f>
        <v>零戦62型(爆戦/岩井隊)</v>
      </c>
    </row>
    <row r="156" spans="1:18" x14ac:dyDescent="0.4">
      <c r="A156">
        <f>装備閲覧!B156</f>
        <v>155</v>
      </c>
      <c r="B156" t="str">
        <f>装備閲覧!C156</f>
        <v>艦上戦闘機</v>
      </c>
      <c r="C156" t="str">
        <f>装備閲覧!D156</f>
        <v>零戦21型(付岩本小隊)</v>
      </c>
      <c r="D156">
        <f>装備閲覧!H156</f>
        <v>6</v>
      </c>
      <c r="E156">
        <f>装備閲覧!J156</f>
        <v>0</v>
      </c>
      <c r="F156">
        <f>装備閲覧!K156</f>
        <v>0</v>
      </c>
      <c r="G156">
        <f>装備閲覧!L156</f>
        <v>9</v>
      </c>
      <c r="H156">
        <f>装備閲覧!M156</f>
        <v>0</v>
      </c>
      <c r="I156">
        <f>装備閲覧!N156</f>
        <v>0</v>
      </c>
      <c r="J156">
        <f>装備閲覧!O156</f>
        <v>3</v>
      </c>
      <c r="K156">
        <f>装備閲覧!P156</f>
        <v>1</v>
      </c>
      <c r="L156">
        <f>装備閲覧!R156</f>
        <v>1</v>
      </c>
      <c r="M156">
        <f>装備閲覧!S156</f>
        <v>0</v>
      </c>
      <c r="N156" t="str">
        <f>装備閲覧!T156</f>
        <v>無</v>
      </c>
      <c r="O156">
        <f>装備閲覧!AA156</f>
        <v>7</v>
      </c>
      <c r="P156" s="1" t="str">
        <f>IFERROR(IFERROR(VLOOKUP(C156,改修!A:B,2,0),_xlfn.NUMBERVALUE(VLOOKUP(C156,特殊改修値!C:D,2,0))),"×")</f>
        <v>×</v>
      </c>
      <c r="Q156" t="str">
        <f>IFERROR(VLOOKUP(C156,装備ボーナス!B:C,2,0),"×")</f>
        <v>×</v>
      </c>
      <c r="R156" t="str">
        <f>VLOOKUP(A156,wikiName!A:B,2,0)</f>
        <v>零戦21型(付岩本小隊)</v>
      </c>
    </row>
    <row r="157" spans="1:18" x14ac:dyDescent="0.4">
      <c r="A157">
        <f>装備閲覧!B157</f>
        <v>156</v>
      </c>
      <c r="B157" t="str">
        <f>装備閲覧!C157</f>
        <v>艦上戦闘機</v>
      </c>
      <c r="C157" t="str">
        <f>装備閲覧!D157</f>
        <v>零戦52型甲(付岩本小隊)</v>
      </c>
      <c r="D157">
        <f>装備閲覧!H157</f>
        <v>6</v>
      </c>
      <c r="E157">
        <f>装備閲覧!J157</f>
        <v>0</v>
      </c>
      <c r="F157">
        <f>装備閲覧!K157</f>
        <v>0</v>
      </c>
      <c r="G157">
        <f>装備閲覧!L157</f>
        <v>11</v>
      </c>
      <c r="H157">
        <f>装備閲覧!M157</f>
        <v>0</v>
      </c>
      <c r="I157">
        <f>装備閲覧!N157</f>
        <v>0</v>
      </c>
      <c r="J157">
        <f>装備閲覧!O157</f>
        <v>3</v>
      </c>
      <c r="K157">
        <f>装備閲覧!P157</f>
        <v>1</v>
      </c>
      <c r="L157">
        <f>装備閲覧!R157</f>
        <v>1</v>
      </c>
      <c r="M157">
        <f>装備閲覧!S157</f>
        <v>0</v>
      </c>
      <c r="N157" t="str">
        <f>装備閲覧!T157</f>
        <v>無</v>
      </c>
      <c r="O157">
        <f>装備閲覧!AA157</f>
        <v>6</v>
      </c>
      <c r="P157" s="1" t="str">
        <f>IFERROR(IFERROR(VLOOKUP(C157,改修!A:B,2,0),_xlfn.NUMBERVALUE(VLOOKUP(C157,特殊改修値!C:D,2,0))),"×")</f>
        <v>〇</v>
      </c>
      <c r="Q157" t="str">
        <f>IFERROR(VLOOKUP(C157,装備ボーナス!B:C,2,0),"×")</f>
        <v>×</v>
      </c>
      <c r="R157" t="str">
        <f>VLOOKUP(A157,wikiName!A:B,2,0)</f>
        <v>零戦52型甲(付岩本小隊)</v>
      </c>
    </row>
    <row r="158" spans="1:18" x14ac:dyDescent="0.4">
      <c r="A158">
        <f>装備閲覧!B158</f>
        <v>157</v>
      </c>
      <c r="B158" t="str">
        <f>装備閲覧!C158</f>
        <v>艦上戦闘機</v>
      </c>
      <c r="C158" t="str">
        <f>装備閲覧!D158</f>
        <v>零式艦戦53型(岩本隊)</v>
      </c>
      <c r="D158">
        <f>装備閲覧!H158</f>
        <v>6</v>
      </c>
      <c r="E158">
        <f>装備閲覧!J158</f>
        <v>0</v>
      </c>
      <c r="F158">
        <f>装備閲覧!K158</f>
        <v>0</v>
      </c>
      <c r="G158">
        <f>装備閲覧!L158</f>
        <v>12</v>
      </c>
      <c r="H158">
        <f>装備閲覧!M158</f>
        <v>0</v>
      </c>
      <c r="I158">
        <f>装備閲覧!N158</f>
        <v>0</v>
      </c>
      <c r="J158">
        <f>装備閲覧!O158</f>
        <v>4</v>
      </c>
      <c r="K158">
        <f>装備閲覧!P158</f>
        <v>3</v>
      </c>
      <c r="L158">
        <f>装備閲覧!R158</f>
        <v>2</v>
      </c>
      <c r="M158">
        <f>装備閲覧!S158</f>
        <v>0</v>
      </c>
      <c r="N158" t="str">
        <f>装備閲覧!T158</f>
        <v>無</v>
      </c>
      <c r="O158">
        <f>装備閲覧!AA158</f>
        <v>6</v>
      </c>
      <c r="P158" s="1" t="str">
        <f>IFERROR(IFERROR(VLOOKUP(C158,改修!A:B,2,0),_xlfn.NUMBERVALUE(VLOOKUP(C158,特殊改修値!C:D,2,0))),"×")</f>
        <v>〇</v>
      </c>
      <c r="Q158" t="str">
        <f>IFERROR(VLOOKUP(C158,装備ボーナス!B:C,2,0),"×")</f>
        <v>×</v>
      </c>
      <c r="R158" t="str">
        <f>VLOOKUP(A158,wikiName!A:B,2,0)</f>
        <v>零式艦戦53型(岩本隊)</v>
      </c>
    </row>
    <row r="159" spans="1:18" x14ac:dyDescent="0.4">
      <c r="A159">
        <f>装備閲覧!B159</f>
        <v>158</v>
      </c>
      <c r="B159" t="str">
        <f>装備閲覧!C159</f>
        <v>艦上戦闘機</v>
      </c>
      <c r="C159" t="str">
        <f>装備閲覧!D159</f>
        <v>Bf109T改</v>
      </c>
      <c r="D159">
        <f>装備閲覧!H159</f>
        <v>6</v>
      </c>
      <c r="E159">
        <f>装備閲覧!J159</f>
        <v>1</v>
      </c>
      <c r="F159">
        <f>装備閲覧!K159</f>
        <v>0</v>
      </c>
      <c r="G159">
        <f>装備閲覧!L159</f>
        <v>8</v>
      </c>
      <c r="H159">
        <f>装備閲覧!M159</f>
        <v>0</v>
      </c>
      <c r="I159">
        <f>装備閲覧!N159</f>
        <v>0</v>
      </c>
      <c r="J159">
        <f>装備閲覧!O159</f>
        <v>4</v>
      </c>
      <c r="K159">
        <f>装備閲覧!P159</f>
        <v>0</v>
      </c>
      <c r="L159">
        <f>装備閲覧!R159</f>
        <v>0</v>
      </c>
      <c r="M159">
        <f>装備閲覧!S159</f>
        <v>0</v>
      </c>
      <c r="N159" t="str">
        <f>装備閲覧!T159</f>
        <v>無</v>
      </c>
      <c r="O159">
        <f>装備閲覧!AA159</f>
        <v>2</v>
      </c>
      <c r="P159" s="1" t="str">
        <f>IFERROR(IFERROR(VLOOKUP(C159,改修!A:B,2,0),_xlfn.NUMBERVALUE(VLOOKUP(C159,特殊改修値!C:D,2,0))),"×")</f>
        <v>×</v>
      </c>
      <c r="Q159" t="str">
        <f>IFERROR(VLOOKUP(C159,装備ボーナス!B:C,2,0),"×")</f>
        <v>×</v>
      </c>
      <c r="R159" t="str">
        <f>VLOOKUP(A159,wikiName!A:B,2,0)</f>
        <v>Bf109T改</v>
      </c>
    </row>
    <row r="160" spans="1:18" x14ac:dyDescent="0.4">
      <c r="A160">
        <f>装備閲覧!B160</f>
        <v>159</v>
      </c>
      <c r="B160" t="str">
        <f>装備閲覧!C160</f>
        <v>艦上戦闘機</v>
      </c>
      <c r="C160" t="str">
        <f>装備閲覧!D160</f>
        <v>Fw190T改</v>
      </c>
      <c r="D160">
        <f>装備閲覧!H160</f>
        <v>6</v>
      </c>
      <c r="E160">
        <f>装備閲覧!J160</f>
        <v>2</v>
      </c>
      <c r="F160">
        <f>装備閲覧!K160</f>
        <v>0</v>
      </c>
      <c r="G160">
        <f>装備閲覧!L160</f>
        <v>10</v>
      </c>
      <c r="H160">
        <f>装備閲覧!M160</f>
        <v>0</v>
      </c>
      <c r="I160">
        <f>装備閲覧!N160</f>
        <v>0</v>
      </c>
      <c r="J160">
        <f>装備閲覧!O160</f>
        <v>2</v>
      </c>
      <c r="K160">
        <f>装備閲覧!P160</f>
        <v>0</v>
      </c>
      <c r="L160">
        <f>装備閲覧!R160</f>
        <v>0</v>
      </c>
      <c r="M160">
        <f>装備閲覧!S160</f>
        <v>0</v>
      </c>
      <c r="N160" t="str">
        <f>装備閲覧!T160</f>
        <v>無</v>
      </c>
      <c r="O160">
        <f>装備閲覧!AA160</f>
        <v>3</v>
      </c>
      <c r="P160" s="1" t="str">
        <f>IFERROR(IFERROR(VLOOKUP(C160,改修!A:B,2,0),_xlfn.NUMBERVALUE(VLOOKUP(C160,特殊改修値!C:D,2,0))),"×")</f>
        <v>×</v>
      </c>
      <c r="Q160" t="str">
        <f>IFERROR(VLOOKUP(C160,装備ボーナス!B:C,2,0),"×")</f>
        <v>×</v>
      </c>
      <c r="R160" t="str">
        <f>VLOOKUP(A160,wikiName!A:B,2,0)</f>
        <v>Fw190T改</v>
      </c>
    </row>
    <row r="161" spans="1:18" x14ac:dyDescent="0.4">
      <c r="A161">
        <f>装備閲覧!B161</f>
        <v>160</v>
      </c>
      <c r="B161" t="str">
        <f>装備閲覧!C161</f>
        <v>副砲</v>
      </c>
      <c r="C161" t="str">
        <f>装備閲覧!D161</f>
        <v>10.5cm連装砲</v>
      </c>
      <c r="D161">
        <f>装備閲覧!H161</f>
        <v>16</v>
      </c>
      <c r="E161">
        <f>装備閲覧!J161</f>
        <v>3</v>
      </c>
      <c r="F161">
        <f>装備閲覧!K161</f>
        <v>0</v>
      </c>
      <c r="G161">
        <f>装備閲覧!L161</f>
        <v>6</v>
      </c>
      <c r="H161">
        <f>装備閲覧!M161</f>
        <v>0</v>
      </c>
      <c r="I161">
        <f>装備閲覧!N161</f>
        <v>0</v>
      </c>
      <c r="J161">
        <f>装備閲覧!O161</f>
        <v>1</v>
      </c>
      <c r="K161">
        <f>装備閲覧!P161</f>
        <v>0</v>
      </c>
      <c r="L161">
        <f>装備閲覧!R161</f>
        <v>2</v>
      </c>
      <c r="M161">
        <f>装備閲覧!S161</f>
        <v>0</v>
      </c>
      <c r="N161" t="str">
        <f>装備閲覧!T161</f>
        <v>短</v>
      </c>
      <c r="O161">
        <f>装備閲覧!AA161</f>
        <v>0</v>
      </c>
      <c r="P161" s="1" t="str">
        <f>IFERROR(IFERROR(VLOOKUP(C161,改修!A:B,2,0),_xlfn.NUMBERVALUE(VLOOKUP(C161,特殊改修値!C:D,2,0))),"×")</f>
        <v>×</v>
      </c>
      <c r="Q161" t="str">
        <f>IFERROR(VLOOKUP(C161,装備ボーナス!B:C,2,0),"×")</f>
        <v>×</v>
      </c>
      <c r="R161" t="str">
        <f>VLOOKUP(A161,wikiName!A:B,2,0)</f>
        <v>10.5cm連装砲</v>
      </c>
    </row>
    <row r="162" spans="1:18" x14ac:dyDescent="0.4">
      <c r="A162">
        <f>装備閲覧!B162</f>
        <v>161</v>
      </c>
      <c r="B162" t="str">
        <f>装備閲覧!C162</f>
        <v>大口径主砲</v>
      </c>
      <c r="C162" t="str">
        <f>装備閲覧!D162</f>
        <v>16inch三連装砲 Mk.7</v>
      </c>
      <c r="D162">
        <f>装備閲覧!H162</f>
        <v>3</v>
      </c>
      <c r="E162">
        <f>装備閲覧!J162</f>
        <v>24</v>
      </c>
      <c r="F162">
        <f>装備閲覧!K162</f>
        <v>0</v>
      </c>
      <c r="G162">
        <f>装備閲覧!L162</f>
        <v>3</v>
      </c>
      <c r="H162">
        <f>装備閲覧!M162</f>
        <v>1</v>
      </c>
      <c r="I162">
        <f>装備閲覧!N162</f>
        <v>0</v>
      </c>
      <c r="J162">
        <f>装備閲覧!O162</f>
        <v>0</v>
      </c>
      <c r="K162">
        <f>装備閲覧!P162</f>
        <v>0</v>
      </c>
      <c r="L162">
        <f>装備閲覧!R162</f>
        <v>4</v>
      </c>
      <c r="M162">
        <f>装備閲覧!S162</f>
        <v>0</v>
      </c>
      <c r="N162" t="str">
        <f>装備閲覧!T162</f>
        <v>長</v>
      </c>
      <c r="O162">
        <f>装備閲覧!AA162</f>
        <v>0</v>
      </c>
      <c r="P162" s="1" t="str">
        <f>IFERROR(IFERROR(VLOOKUP(C162,改修!A:B,2,0),_xlfn.NUMBERVALUE(VLOOKUP(C162,特殊改修値!C:D,2,0))),"×")</f>
        <v>〇</v>
      </c>
      <c r="Q162" t="str">
        <f>IFERROR(VLOOKUP(C162,装備ボーナス!B:C,2,0),"×")</f>
        <v>×</v>
      </c>
      <c r="R162" t="str">
        <f>VLOOKUP(A162,wikiName!A:B,2,0)</f>
        <v>16inch三連装砲 Mk.7</v>
      </c>
    </row>
    <row r="163" spans="1:18" x14ac:dyDescent="0.4">
      <c r="A163">
        <f>装備閲覧!B163</f>
        <v>162</v>
      </c>
      <c r="B163" t="str">
        <f>装備閲覧!C163</f>
        <v>中口径主砲</v>
      </c>
      <c r="C163" t="str">
        <f>装備閲覧!D163</f>
        <v>203mm/53 連装砲</v>
      </c>
      <c r="D163">
        <f>装備閲覧!H163</f>
        <v>2</v>
      </c>
      <c r="E163">
        <f>装備閲覧!J163</f>
        <v>9</v>
      </c>
      <c r="F163">
        <f>装備閲覧!K163</f>
        <v>0</v>
      </c>
      <c r="G163">
        <f>装備閲覧!L163</f>
        <v>1</v>
      </c>
      <c r="H163">
        <f>装備閲覧!M163</f>
        <v>0</v>
      </c>
      <c r="I163">
        <f>装備閲覧!N163</f>
        <v>0</v>
      </c>
      <c r="J163">
        <f>装備閲覧!O163</f>
        <v>0</v>
      </c>
      <c r="K163">
        <f>装備閲覧!P163</f>
        <v>0</v>
      </c>
      <c r="L163">
        <f>装備閲覧!R163</f>
        <v>-2</v>
      </c>
      <c r="M163">
        <f>装備閲覧!S163</f>
        <v>0</v>
      </c>
      <c r="N163" t="str">
        <f>装備閲覧!T163</f>
        <v>長</v>
      </c>
      <c r="O163">
        <f>装備閲覧!AA163</f>
        <v>0</v>
      </c>
      <c r="P163" s="1" t="str">
        <f>IFERROR(IFERROR(VLOOKUP(C163,改修!A:B,2,0),_xlfn.NUMBERVALUE(VLOOKUP(C163,特殊改修値!C:D,2,0))),"×")</f>
        <v>〇</v>
      </c>
      <c r="Q163" t="str">
        <f>IFERROR(VLOOKUP(C163,装備ボーナス!B:C,2,0),"×")</f>
        <v>×</v>
      </c>
      <c r="R163" t="str">
        <f>VLOOKUP(A163,wikiName!A:B,2,0)</f>
        <v>203mm/53 連装砲</v>
      </c>
    </row>
    <row r="164" spans="1:18" x14ac:dyDescent="0.4">
      <c r="A164">
        <f>装備閲覧!B164</f>
        <v>163</v>
      </c>
      <c r="B164" t="str">
        <f>装備閲覧!C164</f>
        <v>水上偵察機</v>
      </c>
      <c r="C164" t="str">
        <f>装備閲覧!D164</f>
        <v>Ro.43水偵</v>
      </c>
      <c r="D164">
        <f>装備閲覧!H164</f>
        <v>10</v>
      </c>
      <c r="E164">
        <f>装備閲覧!J164</f>
        <v>1</v>
      </c>
      <c r="F164">
        <f>装備閲覧!K164</f>
        <v>0</v>
      </c>
      <c r="G164">
        <f>装備閲覧!L164</f>
        <v>1</v>
      </c>
      <c r="H164">
        <f>装備閲覧!M164</f>
        <v>0</v>
      </c>
      <c r="I164">
        <f>装備閲覧!N164</f>
        <v>2</v>
      </c>
      <c r="J164">
        <f>装備閲覧!O164</f>
        <v>1</v>
      </c>
      <c r="K164">
        <f>装備閲覧!P164</f>
        <v>4</v>
      </c>
      <c r="L164">
        <f>装備閲覧!R164</f>
        <v>2</v>
      </c>
      <c r="M164">
        <f>装備閲覧!S164</f>
        <v>0</v>
      </c>
      <c r="N164" t="str">
        <f>装備閲覧!T164</f>
        <v>無</v>
      </c>
      <c r="O164">
        <f>装備閲覧!AA164</f>
        <v>3</v>
      </c>
      <c r="P164" s="1" t="str">
        <f>IFERROR(IFERROR(VLOOKUP(C164,改修!A:B,2,0),_xlfn.NUMBERVALUE(VLOOKUP(C164,特殊改修値!C:D,2,0))),"×")</f>
        <v>〇</v>
      </c>
      <c r="Q164" t="str">
        <f>IFERROR(VLOOKUP(C164,装備ボーナス!B:C,2,0),"×")</f>
        <v>×</v>
      </c>
      <c r="R164" t="str">
        <f>VLOOKUP(A164,wikiName!A:B,2,0)</f>
        <v>Ro.43水偵</v>
      </c>
    </row>
    <row r="165" spans="1:18" x14ac:dyDescent="0.4">
      <c r="A165">
        <f>装備閲覧!B165</f>
        <v>164</v>
      </c>
      <c r="B165" t="str">
        <f>装備閲覧!C165</f>
        <v>水上戦闘機</v>
      </c>
      <c r="C165" t="str">
        <f>装備閲覧!D165</f>
        <v>Ro.44水上戦闘機</v>
      </c>
      <c r="D165">
        <f>装備閲覧!H165</f>
        <v>43</v>
      </c>
      <c r="E165">
        <f>装備閲覧!J165</f>
        <v>0</v>
      </c>
      <c r="F165">
        <f>装備閲覧!K165</f>
        <v>0</v>
      </c>
      <c r="G165">
        <f>装備閲覧!L165</f>
        <v>2</v>
      </c>
      <c r="H165">
        <f>装備閲覧!M165</f>
        <v>0</v>
      </c>
      <c r="I165">
        <f>装備閲覧!N165</f>
        <v>1</v>
      </c>
      <c r="J165">
        <f>装備閲覧!O165</f>
        <v>2</v>
      </c>
      <c r="K165">
        <f>装備閲覧!P165</f>
        <v>2</v>
      </c>
      <c r="L165">
        <f>装備閲覧!R165</f>
        <v>1</v>
      </c>
      <c r="M165">
        <f>装備閲覧!S165</f>
        <v>0</v>
      </c>
      <c r="N165" t="str">
        <f>装備閲覧!T165</f>
        <v>無</v>
      </c>
      <c r="O165">
        <f>装備閲覧!AA165</f>
        <v>3</v>
      </c>
      <c r="P165" s="1" t="str">
        <f>IFERROR(IFERROR(VLOOKUP(C165,改修!A:B,2,0),_xlfn.NUMBERVALUE(VLOOKUP(C165,特殊改修値!C:D,2,0))),"×")</f>
        <v>〇</v>
      </c>
      <c r="Q165" t="str">
        <f>IFERROR(VLOOKUP(C165,装備ボーナス!B:C,2,0),"×")</f>
        <v>×</v>
      </c>
      <c r="R165" t="str">
        <f>VLOOKUP(A165,wikiName!A:B,2,0)</f>
        <v>Ro.44水上戦闘機</v>
      </c>
    </row>
    <row r="166" spans="1:18" x14ac:dyDescent="0.4">
      <c r="A166">
        <f>装備閲覧!B166</f>
        <v>165</v>
      </c>
      <c r="B166" t="str">
        <f>装備閲覧!C166</f>
        <v>水上戦闘機</v>
      </c>
      <c r="C166" t="str">
        <f>装備閲覧!D166</f>
        <v>二式水戦改</v>
      </c>
      <c r="D166">
        <f>装備閲覧!H166</f>
        <v>43</v>
      </c>
      <c r="E166">
        <f>装備閲覧!J166</f>
        <v>0</v>
      </c>
      <c r="F166">
        <f>装備閲覧!K166</f>
        <v>0</v>
      </c>
      <c r="G166">
        <f>装備閲覧!L166</f>
        <v>3</v>
      </c>
      <c r="H166">
        <f>装備閲覧!M166</f>
        <v>0</v>
      </c>
      <c r="I166">
        <f>装備閲覧!N166</f>
        <v>1</v>
      </c>
      <c r="J166">
        <f>装備閲覧!O166</f>
        <v>2</v>
      </c>
      <c r="K166">
        <f>装備閲覧!P166</f>
        <v>1</v>
      </c>
      <c r="L166">
        <f>装備閲覧!R166</f>
        <v>1</v>
      </c>
      <c r="M166">
        <f>装備閲覧!S166</f>
        <v>0</v>
      </c>
      <c r="N166" t="str">
        <f>装備閲覧!T166</f>
        <v>無</v>
      </c>
      <c r="O166">
        <f>装備閲覧!AA166</f>
        <v>4</v>
      </c>
      <c r="P166" s="1" t="str">
        <f>IFERROR(IFERROR(VLOOKUP(C166,改修!A:B,2,0),_xlfn.NUMBERVALUE(VLOOKUP(C166,特殊改修値!C:D,2,0))),"×")</f>
        <v>〇</v>
      </c>
      <c r="Q166" t="str">
        <f>IFERROR(VLOOKUP(C166,装備ボーナス!B:C,2,0),"×")</f>
        <v>×</v>
      </c>
      <c r="R166" t="str">
        <f>VLOOKUP(A166,wikiName!A:B,2,0)</f>
        <v>二式水戦改</v>
      </c>
    </row>
    <row r="167" spans="1:18" x14ac:dyDescent="0.4">
      <c r="A167">
        <f>装備閲覧!B167</f>
        <v>166</v>
      </c>
      <c r="B167" t="str">
        <f>装備閲覧!C167</f>
        <v>上陸用舟艇</v>
      </c>
      <c r="C167" t="str">
        <f>装備閲覧!D167</f>
        <v>大発動艇(八九式中戦車&amp;陸戦隊)</v>
      </c>
      <c r="D167">
        <f>装備閲覧!H167</f>
        <v>20</v>
      </c>
      <c r="E167">
        <f>装備閲覧!J167</f>
        <v>0</v>
      </c>
      <c r="F167">
        <f>装備閲覧!K167</f>
        <v>0</v>
      </c>
      <c r="G167">
        <f>装備閲覧!L167</f>
        <v>0</v>
      </c>
      <c r="H167">
        <f>装備閲覧!M167</f>
        <v>0</v>
      </c>
      <c r="I167">
        <f>装備閲覧!N167</f>
        <v>0</v>
      </c>
      <c r="J167">
        <f>装備閲覧!O167</f>
        <v>0</v>
      </c>
      <c r="K167">
        <f>装備閲覧!P167</f>
        <v>0</v>
      </c>
      <c r="L167">
        <f>装備閲覧!R167</f>
        <v>0</v>
      </c>
      <c r="M167">
        <f>装備閲覧!S167</f>
        <v>0</v>
      </c>
      <c r="N167" t="str">
        <f>装備閲覧!T167</f>
        <v>無</v>
      </c>
      <c r="O167">
        <f>装備閲覧!AA167</f>
        <v>0</v>
      </c>
      <c r="P167" s="1" t="str">
        <f>IFERROR(IFERROR(VLOOKUP(C167,改修!A:B,2,0),_xlfn.NUMBERVALUE(VLOOKUP(C167,特殊改修値!C:D,2,0))),"×")</f>
        <v>〇</v>
      </c>
      <c r="Q167" t="str">
        <f>IFERROR(VLOOKUP(C167,装備ボーナス!B:C,2,0),"×")</f>
        <v>×</v>
      </c>
      <c r="R167" t="str">
        <f>VLOOKUP(A167,wikiName!A:B,2,0)</f>
        <v>大発動艇(八九式中戦車＆陸戦隊)</v>
      </c>
    </row>
    <row r="168" spans="1:18" x14ac:dyDescent="0.4">
      <c r="A168">
        <f>装備閲覧!B168</f>
        <v>167</v>
      </c>
      <c r="B168" t="str">
        <f>装備閲覧!C168</f>
        <v>特型内火艇</v>
      </c>
      <c r="C168" t="str">
        <f>装備閲覧!D168</f>
        <v>特二式内火艇</v>
      </c>
      <c r="D168">
        <f>装備閲覧!H168</f>
        <v>36</v>
      </c>
      <c r="E168">
        <f>装備閲覧!J168</f>
        <v>0</v>
      </c>
      <c r="F168">
        <f>装備閲覧!K168</f>
        <v>0</v>
      </c>
      <c r="G168">
        <f>装備閲覧!L168</f>
        <v>0</v>
      </c>
      <c r="H168">
        <f>装備閲覧!M168</f>
        <v>0</v>
      </c>
      <c r="I168">
        <f>装備閲覧!N168</f>
        <v>0</v>
      </c>
      <c r="J168">
        <f>装備閲覧!O168</f>
        <v>0</v>
      </c>
      <c r="K168">
        <f>装備閲覧!P168</f>
        <v>0</v>
      </c>
      <c r="L168">
        <f>装備閲覧!R168</f>
        <v>0</v>
      </c>
      <c r="M168">
        <f>装備閲覧!S168</f>
        <v>0</v>
      </c>
      <c r="N168" t="str">
        <f>装備閲覧!T168</f>
        <v>無</v>
      </c>
      <c r="O168">
        <f>装備閲覧!AA168</f>
        <v>0</v>
      </c>
      <c r="P168" s="1" t="str">
        <f>IFERROR(IFERROR(VLOOKUP(C168,改修!A:B,2,0),_xlfn.NUMBERVALUE(VLOOKUP(C168,特殊改修値!C:D,2,0))),"×")</f>
        <v>〇</v>
      </c>
      <c r="Q168" t="str">
        <f>IFERROR(VLOOKUP(C168,装備ボーナス!B:C,2,0),"×")</f>
        <v>×</v>
      </c>
      <c r="R168" t="str">
        <f>VLOOKUP(A168,wikiName!A:B,2,0)</f>
        <v>特二式内火艇</v>
      </c>
    </row>
    <row r="169" spans="1:18" x14ac:dyDescent="0.4">
      <c r="A169">
        <f>装備閲覧!B169</f>
        <v>168</v>
      </c>
      <c r="B169" t="str">
        <f>装備閲覧!C169</f>
        <v>陸上攻撃機</v>
      </c>
      <c r="C169" t="str">
        <f>装備閲覧!D169</f>
        <v>九六式陸攻</v>
      </c>
      <c r="D169">
        <f>装備閲覧!H169</f>
        <v>37</v>
      </c>
      <c r="E169">
        <f>装備閲覧!J169</f>
        <v>0</v>
      </c>
      <c r="F169">
        <f>装備閲覧!K169</f>
        <v>8</v>
      </c>
      <c r="G169">
        <f>装備閲覧!L169</f>
        <v>1</v>
      </c>
      <c r="H169">
        <f>装備閲覧!M169</f>
        <v>0</v>
      </c>
      <c r="I169">
        <f>装備閲覧!N169</f>
        <v>2</v>
      </c>
      <c r="J169">
        <f>装備閲覧!O169</f>
        <v>0</v>
      </c>
      <c r="K169">
        <f>装備閲覧!P169</f>
        <v>2</v>
      </c>
      <c r="L169">
        <f>装備閲覧!R169</f>
        <v>0</v>
      </c>
      <c r="M169">
        <f>装備閲覧!S169</f>
        <v>10</v>
      </c>
      <c r="N169" t="str">
        <f>装備閲覧!T169</f>
        <v>無</v>
      </c>
      <c r="O169">
        <f>装備閲覧!AA169</f>
        <v>8</v>
      </c>
      <c r="P169" s="1" t="str">
        <f>IFERROR(IFERROR(VLOOKUP(C169,改修!A:B,2,0),_xlfn.NUMBERVALUE(VLOOKUP(C169,特殊改修値!C:D,2,0))),"×")</f>
        <v>×</v>
      </c>
      <c r="Q169" t="str">
        <f>IFERROR(VLOOKUP(C169,装備ボーナス!B:C,2,0),"×")</f>
        <v>×</v>
      </c>
      <c r="R169" t="str">
        <f>VLOOKUP(A169,wikiName!A:B,2,0)</f>
        <v>九六式陸攻</v>
      </c>
    </row>
    <row r="170" spans="1:18" x14ac:dyDescent="0.4">
      <c r="A170">
        <f>装備閲覧!B170</f>
        <v>169</v>
      </c>
      <c r="B170" t="str">
        <f>装備閲覧!C170</f>
        <v>陸上攻撃機</v>
      </c>
      <c r="C170" t="str">
        <f>装備閲覧!D170</f>
        <v>一式陸攻</v>
      </c>
      <c r="D170">
        <f>装備閲覧!H170</f>
        <v>37</v>
      </c>
      <c r="E170">
        <f>装備閲覧!J170</f>
        <v>0</v>
      </c>
      <c r="F170">
        <f>装備閲覧!K170</f>
        <v>10</v>
      </c>
      <c r="G170">
        <f>装備閲覧!L170</f>
        <v>2</v>
      </c>
      <c r="H170">
        <f>装備閲覧!M170</f>
        <v>0</v>
      </c>
      <c r="I170">
        <f>装備閲覧!N170</f>
        <v>2</v>
      </c>
      <c r="J170">
        <f>装備閲覧!O170</f>
        <v>0</v>
      </c>
      <c r="K170">
        <f>装備閲覧!P170</f>
        <v>3</v>
      </c>
      <c r="L170">
        <f>装備閲覧!R170</f>
        <v>0</v>
      </c>
      <c r="M170">
        <f>装備閲覧!S170</f>
        <v>12</v>
      </c>
      <c r="N170" t="str">
        <f>装備閲覧!T170</f>
        <v>無</v>
      </c>
      <c r="O170">
        <f>装備閲覧!AA170</f>
        <v>9</v>
      </c>
      <c r="P170" s="1" t="str">
        <f>IFERROR(IFERROR(VLOOKUP(C170,改修!A:B,2,0),_xlfn.NUMBERVALUE(VLOOKUP(C170,特殊改修値!C:D,2,0))),"×")</f>
        <v>×</v>
      </c>
      <c r="Q170" t="str">
        <f>IFERROR(VLOOKUP(C170,装備ボーナス!B:C,2,0),"×")</f>
        <v>×</v>
      </c>
      <c r="R170" t="str">
        <f>VLOOKUP(A170,wikiName!A:B,2,0)</f>
        <v>一式陸攻</v>
      </c>
    </row>
    <row r="171" spans="1:18" x14ac:dyDescent="0.4">
      <c r="A171">
        <f>装備閲覧!B171</f>
        <v>170</v>
      </c>
      <c r="B171" t="str">
        <f>装備閲覧!C171</f>
        <v>陸上攻撃機</v>
      </c>
      <c r="C171" t="str">
        <f>装備閲覧!D171</f>
        <v>一式陸攻(野中隊)</v>
      </c>
      <c r="D171">
        <f>装備閲覧!H171</f>
        <v>37</v>
      </c>
      <c r="E171">
        <f>装備閲覧!J171</f>
        <v>0</v>
      </c>
      <c r="F171">
        <f>装備閲覧!K171</f>
        <v>12</v>
      </c>
      <c r="G171">
        <f>装備閲覧!L171</f>
        <v>3</v>
      </c>
      <c r="H171">
        <f>装備閲覧!M171</f>
        <v>0</v>
      </c>
      <c r="I171">
        <f>装備閲覧!N171</f>
        <v>2</v>
      </c>
      <c r="J171">
        <f>装備閲覧!O171</f>
        <v>0</v>
      </c>
      <c r="K171">
        <f>装備閲覧!P171</f>
        <v>4</v>
      </c>
      <c r="L171">
        <f>装備閲覧!R171</f>
        <v>1</v>
      </c>
      <c r="M171">
        <f>装備閲覧!S171</f>
        <v>13</v>
      </c>
      <c r="N171" t="str">
        <f>装備閲覧!T171</f>
        <v>無</v>
      </c>
      <c r="O171">
        <f>装備閲覧!AA171</f>
        <v>9</v>
      </c>
      <c r="P171" s="1">
        <f>IFERROR(IFERROR(VLOOKUP(C171,改修!A:B,2,0),_xlfn.NUMBERVALUE(VLOOKUP(C171,特殊改修値!C:D,2,0))),"×")</f>
        <v>5</v>
      </c>
      <c r="Q171" t="str">
        <f>IFERROR(VLOOKUP(C171,装備ボーナス!B:C,2,0),"×")</f>
        <v>×</v>
      </c>
      <c r="R171" t="str">
        <f>VLOOKUP(A171,wikiName!A:B,2,0)</f>
        <v>一式陸攻(野中隊)</v>
      </c>
    </row>
    <row r="172" spans="1:18" x14ac:dyDescent="0.4">
      <c r="A172">
        <f>装備閲覧!B172</f>
        <v>171</v>
      </c>
      <c r="B172" t="str">
        <f>装備閲覧!C172</f>
        <v>水上偵察機</v>
      </c>
      <c r="C172" t="str">
        <f>装備閲覧!D172</f>
        <v>OS2U</v>
      </c>
      <c r="D172">
        <f>装備閲覧!H172</f>
        <v>10</v>
      </c>
      <c r="E172">
        <f>装備閲覧!J172</f>
        <v>0</v>
      </c>
      <c r="F172">
        <f>装備閲覧!K172</f>
        <v>0</v>
      </c>
      <c r="G172">
        <f>装備閲覧!L172</f>
        <v>1</v>
      </c>
      <c r="H172">
        <f>装備閲覧!M172</f>
        <v>0</v>
      </c>
      <c r="I172">
        <f>装備閲覧!N172</f>
        <v>1</v>
      </c>
      <c r="J172">
        <f>装備閲覧!O172</f>
        <v>1</v>
      </c>
      <c r="K172">
        <f>装備閲覧!P172</f>
        <v>6</v>
      </c>
      <c r="L172">
        <f>装備閲覧!R172</f>
        <v>2</v>
      </c>
      <c r="M172">
        <f>装備閲覧!S172</f>
        <v>1</v>
      </c>
      <c r="N172" t="str">
        <f>装備閲覧!T172</f>
        <v>無</v>
      </c>
      <c r="O172">
        <f>装備閲覧!AA172</f>
        <v>3</v>
      </c>
      <c r="P172" s="1" t="str">
        <f>IFERROR(IFERROR(VLOOKUP(C172,改修!A:B,2,0),_xlfn.NUMBERVALUE(VLOOKUP(C172,特殊改修値!C:D,2,0))),"×")</f>
        <v>〇</v>
      </c>
      <c r="Q172" t="str">
        <f>IFERROR(VLOOKUP(C172,装備ボーナス!B:C,2,0),"×")</f>
        <v>〇</v>
      </c>
      <c r="R172" t="str">
        <f>VLOOKUP(A172,wikiName!A:B,2,0)</f>
        <v>OS2U</v>
      </c>
    </row>
    <row r="173" spans="1:18" x14ac:dyDescent="0.4">
      <c r="A173">
        <f>装備閲覧!B173</f>
        <v>172</v>
      </c>
      <c r="B173" t="str">
        <f>装備閲覧!C173</f>
        <v>副砲</v>
      </c>
      <c r="C173" t="str">
        <f>装備閲覧!D173</f>
        <v>5inch連装砲 Mk.28 mod.2</v>
      </c>
      <c r="D173">
        <f>装備閲覧!H173</f>
        <v>16</v>
      </c>
      <c r="E173">
        <f>装備閲覧!J173</f>
        <v>4</v>
      </c>
      <c r="F173">
        <f>装備閲覧!K173</f>
        <v>0</v>
      </c>
      <c r="G173">
        <f>装備閲覧!L173</f>
        <v>9</v>
      </c>
      <c r="H173">
        <f>装備閲覧!M173</f>
        <v>1</v>
      </c>
      <c r="I173">
        <f>装備閲覧!N173</f>
        <v>0</v>
      </c>
      <c r="J173">
        <f>装備閲覧!O173</f>
        <v>1</v>
      </c>
      <c r="K173">
        <f>装備閲覧!P173</f>
        <v>0</v>
      </c>
      <c r="L173">
        <f>装備閲覧!R173</f>
        <v>2</v>
      </c>
      <c r="M173">
        <f>装備閲覧!S173</f>
        <v>0</v>
      </c>
      <c r="N173" t="str">
        <f>装備閲覧!T173</f>
        <v>短</v>
      </c>
      <c r="O173">
        <f>装備閲覧!AA173</f>
        <v>0</v>
      </c>
      <c r="P173" s="1" t="str">
        <f>IFERROR(IFERROR(VLOOKUP(C173,改修!A:B,2,0),_xlfn.NUMBERVALUE(VLOOKUP(C173,特殊改修値!C:D,2,0))),"×")</f>
        <v>×</v>
      </c>
      <c r="Q173" t="str">
        <f>IFERROR(VLOOKUP(C173,装備ボーナス!B:C,2,0),"×")</f>
        <v>×</v>
      </c>
      <c r="R173" t="str">
        <f>VLOOKUP(A173,wikiName!A:B,2,0)</f>
        <v>5inch連装砲 Mk.28 mod.2</v>
      </c>
    </row>
    <row r="174" spans="1:18" x14ac:dyDescent="0.4">
      <c r="A174">
        <f>装備閲覧!B174</f>
        <v>173</v>
      </c>
      <c r="B174" t="str">
        <f>装備閲覧!C174</f>
        <v>対空機銃</v>
      </c>
      <c r="C174" t="str">
        <f>装備閲覧!D174</f>
        <v>Bofors 40mm四連装機関砲</v>
      </c>
      <c r="D174">
        <f>装備閲覧!H174</f>
        <v>15</v>
      </c>
      <c r="E174">
        <f>装備閲覧!J174</f>
        <v>1</v>
      </c>
      <c r="F174">
        <f>装備閲覧!K174</f>
        <v>0</v>
      </c>
      <c r="G174">
        <f>装備閲覧!L174</f>
        <v>11</v>
      </c>
      <c r="H174">
        <f>装備閲覧!M174</f>
        <v>1</v>
      </c>
      <c r="I174">
        <f>装備閲覧!N174</f>
        <v>0</v>
      </c>
      <c r="J174">
        <f>装備閲覧!O174</f>
        <v>2</v>
      </c>
      <c r="K174">
        <f>装備閲覧!P174</f>
        <v>0</v>
      </c>
      <c r="L174">
        <f>装備閲覧!R174</f>
        <v>1</v>
      </c>
      <c r="M174">
        <f>装備閲覧!S174</f>
        <v>0</v>
      </c>
      <c r="N174" t="str">
        <f>装備閲覧!T174</f>
        <v>無</v>
      </c>
      <c r="O174">
        <f>装備閲覧!AA174</f>
        <v>0</v>
      </c>
      <c r="P174" s="1" t="str">
        <f>IFERROR(IFERROR(VLOOKUP(C174,改修!A:B,2,0),_xlfn.NUMBERVALUE(VLOOKUP(C174,特殊改修値!C:D,2,0))),"×")</f>
        <v>×</v>
      </c>
      <c r="Q174" t="str">
        <f>IFERROR(VLOOKUP(C174,装備ボーナス!B:C,2,0),"×")</f>
        <v>×</v>
      </c>
      <c r="R174" t="str">
        <f>VLOOKUP(A174,wikiName!A:B,2,0)</f>
        <v>Bofors 40mm四連装機関砲</v>
      </c>
    </row>
    <row r="175" spans="1:18" x14ac:dyDescent="0.4">
      <c r="A175">
        <f>装備閲覧!B175</f>
        <v>174</v>
      </c>
      <c r="B175" t="str">
        <f>装備閲覧!C175</f>
        <v>魚雷</v>
      </c>
      <c r="C175" t="str">
        <f>装備閲覧!D175</f>
        <v>53cm連装魚雷</v>
      </c>
      <c r="D175">
        <f>装備閲覧!H175</f>
        <v>5</v>
      </c>
      <c r="E175">
        <f>装備閲覧!J175</f>
        <v>0</v>
      </c>
      <c r="F175">
        <f>装備閲覧!K175</f>
        <v>3</v>
      </c>
      <c r="G175">
        <f>装備閲覧!L175</f>
        <v>0</v>
      </c>
      <c r="H175">
        <f>装備閲覧!M175</f>
        <v>0</v>
      </c>
      <c r="I175">
        <f>装備閲覧!N175</f>
        <v>0</v>
      </c>
      <c r="J175">
        <f>装備閲覧!O175</f>
        <v>2</v>
      </c>
      <c r="K175">
        <f>装備閲覧!P175</f>
        <v>0</v>
      </c>
      <c r="L175">
        <f>装備閲覧!R175</f>
        <v>0</v>
      </c>
      <c r="M175">
        <f>装備閲覧!S175</f>
        <v>0</v>
      </c>
      <c r="N175" t="str">
        <f>装備閲覧!T175</f>
        <v>短</v>
      </c>
      <c r="O175">
        <f>装備閲覧!AA175</f>
        <v>0</v>
      </c>
      <c r="P175" s="1" t="str">
        <f>IFERROR(IFERROR(VLOOKUP(C175,改修!A:B,2,0),_xlfn.NUMBERVALUE(VLOOKUP(C175,特殊改修値!C:D,2,0))),"×")</f>
        <v>〇</v>
      </c>
      <c r="Q175" t="str">
        <f>IFERROR(VLOOKUP(C175,装備ボーナス!B:C,2,0),"×")</f>
        <v>〇</v>
      </c>
      <c r="R175" t="str">
        <f>VLOOKUP(A175,wikiName!A:B,2,0)</f>
        <v>53cm連装魚雷</v>
      </c>
    </row>
    <row r="176" spans="1:18" x14ac:dyDescent="0.4">
      <c r="A176">
        <f>装備閲覧!B176</f>
        <v>175</v>
      </c>
      <c r="B176" t="str">
        <f>装備閲覧!C176</f>
        <v>局地戦闘機</v>
      </c>
      <c r="C176" t="str">
        <f>装備閲覧!D176</f>
        <v>雷電</v>
      </c>
      <c r="D176">
        <f>装備閲覧!H176</f>
        <v>38</v>
      </c>
      <c r="E176">
        <f>装備閲覧!J176</f>
        <v>0</v>
      </c>
      <c r="F176">
        <f>装備閲覧!K176</f>
        <v>0</v>
      </c>
      <c r="G176">
        <f>装備閲覧!L176</f>
        <v>6</v>
      </c>
      <c r="H176">
        <f>装備閲覧!M176</f>
        <v>0</v>
      </c>
      <c r="I176">
        <f>装備閲覧!N176</f>
        <v>0</v>
      </c>
      <c r="J176">
        <f>装備閲覧!O176</f>
        <v>2</v>
      </c>
      <c r="K176">
        <f>装備閲覧!P176</f>
        <v>0</v>
      </c>
      <c r="L176">
        <f>装備閲覧!R176</f>
        <v>5</v>
      </c>
      <c r="M176">
        <f>装備閲覧!S176</f>
        <v>0</v>
      </c>
      <c r="N176" t="str">
        <f>装備閲覧!T176</f>
        <v>無</v>
      </c>
      <c r="O176">
        <f>装備閲覧!AA176</f>
        <v>2</v>
      </c>
      <c r="P176" s="1" t="str">
        <f>IFERROR(IFERROR(VLOOKUP(C176,改修!A:B,2,0),_xlfn.NUMBERVALUE(VLOOKUP(C176,特殊改修値!C:D,2,0))),"×")</f>
        <v>×</v>
      </c>
      <c r="Q176" t="str">
        <f>IFERROR(VLOOKUP(C176,装備ボーナス!B:C,2,0),"×")</f>
        <v>×</v>
      </c>
      <c r="R176" t="str">
        <f>VLOOKUP(A176,wikiName!A:B,2,0)</f>
        <v>雷電</v>
      </c>
    </row>
    <row r="177" spans="1:18" x14ac:dyDescent="0.4">
      <c r="A177">
        <f>装備閲覧!B177</f>
        <v>176</v>
      </c>
      <c r="B177" t="str">
        <f>装備閲覧!C177</f>
        <v>局地戦闘機</v>
      </c>
      <c r="C177" t="str">
        <f>装備閲覧!D177</f>
        <v>三式戦 飛燕</v>
      </c>
      <c r="D177">
        <f>装備閲覧!H177</f>
        <v>44</v>
      </c>
      <c r="E177">
        <f>装備閲覧!J177</f>
        <v>0</v>
      </c>
      <c r="F177">
        <f>装備閲覧!K177</f>
        <v>0</v>
      </c>
      <c r="G177">
        <f>装備閲覧!L177</f>
        <v>8</v>
      </c>
      <c r="H177">
        <f>装備閲覧!M177</f>
        <v>0</v>
      </c>
      <c r="I177">
        <f>装備閲覧!N177</f>
        <v>0</v>
      </c>
      <c r="J177">
        <f>装備閲覧!O177</f>
        <v>3</v>
      </c>
      <c r="K177">
        <f>装備閲覧!P177</f>
        <v>0</v>
      </c>
      <c r="L177">
        <f>装備閲覧!R177</f>
        <v>1</v>
      </c>
      <c r="M177">
        <f>装備閲覧!S177</f>
        <v>0</v>
      </c>
      <c r="N177" t="str">
        <f>装備閲覧!T177</f>
        <v>無</v>
      </c>
      <c r="O177">
        <f>装備閲覧!AA177</f>
        <v>3</v>
      </c>
      <c r="P177" s="1" t="str">
        <f>IFERROR(IFERROR(VLOOKUP(C177,改修!A:B,2,0),_xlfn.NUMBERVALUE(VLOOKUP(C177,特殊改修値!C:D,2,0))),"×")</f>
        <v>〇</v>
      </c>
      <c r="Q177" t="str">
        <f>IFERROR(VLOOKUP(C177,装備ボーナス!B:C,2,0),"×")</f>
        <v>×</v>
      </c>
      <c r="R177" t="str">
        <f>VLOOKUP(A177,wikiName!A:B,2,0)</f>
        <v>三式戦 飛燕</v>
      </c>
    </row>
    <row r="178" spans="1:18" x14ac:dyDescent="0.4">
      <c r="A178">
        <f>装備閲覧!B178</f>
        <v>177</v>
      </c>
      <c r="B178" t="str">
        <f>装備閲覧!C178</f>
        <v>局地戦闘機</v>
      </c>
      <c r="C178" t="str">
        <f>装備閲覧!D178</f>
        <v>三式戦 飛燕(飛行第244戦隊)</v>
      </c>
      <c r="D178">
        <f>装備閲覧!H178</f>
        <v>44</v>
      </c>
      <c r="E178">
        <f>装備閲覧!J178</f>
        <v>0</v>
      </c>
      <c r="F178">
        <f>装備閲覧!K178</f>
        <v>0</v>
      </c>
      <c r="G178">
        <f>装備閲覧!L178</f>
        <v>9</v>
      </c>
      <c r="H178">
        <f>装備閲覧!M178</f>
        <v>0</v>
      </c>
      <c r="I178">
        <f>装備閲覧!N178</f>
        <v>0</v>
      </c>
      <c r="J178">
        <f>装備閲覧!O178</f>
        <v>4</v>
      </c>
      <c r="K178">
        <f>装備閲覧!P178</f>
        <v>0</v>
      </c>
      <c r="L178">
        <f>装備閲覧!R178</f>
        <v>3</v>
      </c>
      <c r="M178">
        <f>装備閲覧!S178</f>
        <v>0</v>
      </c>
      <c r="N178" t="str">
        <f>装備閲覧!T178</f>
        <v>無</v>
      </c>
      <c r="O178">
        <f>装備閲覧!AA178</f>
        <v>4</v>
      </c>
      <c r="P178" s="1">
        <f>IFERROR(IFERROR(VLOOKUP(C178,改修!A:B,2,0),_xlfn.NUMBERVALUE(VLOOKUP(C178,特殊改修値!C:D,2,0))),"×")</f>
        <v>5</v>
      </c>
      <c r="Q178" t="str">
        <f>IFERROR(VLOOKUP(C178,装備ボーナス!B:C,2,0),"×")</f>
        <v>×</v>
      </c>
      <c r="R178" t="str">
        <f>VLOOKUP(A178,wikiName!A:B,2,0)</f>
        <v>三式戦 飛燕(飛行第244戦隊)</v>
      </c>
    </row>
    <row r="179" spans="1:18" x14ac:dyDescent="0.4">
      <c r="A179">
        <f>装備閲覧!B179</f>
        <v>178</v>
      </c>
      <c r="B179" t="str">
        <f>装備閲覧!C179</f>
        <v>大型飛行艇</v>
      </c>
      <c r="C179" t="str">
        <f>装備閲覧!D179</f>
        <v>PBY-5A Catalina</v>
      </c>
      <c r="D179">
        <f>装備閲覧!H179</f>
        <v>33</v>
      </c>
      <c r="E179">
        <f>装備閲覧!J179</f>
        <v>0</v>
      </c>
      <c r="F179">
        <f>装備閲覧!K179</f>
        <v>0</v>
      </c>
      <c r="G179">
        <f>装備閲覧!L179</f>
        <v>0</v>
      </c>
      <c r="H179">
        <f>装備閲覧!M179</f>
        <v>0</v>
      </c>
      <c r="I179">
        <f>装備閲覧!N179</f>
        <v>2</v>
      </c>
      <c r="J179">
        <f>装備閲覧!O179</f>
        <v>0</v>
      </c>
      <c r="K179">
        <f>装備閲覧!P179</f>
        <v>9</v>
      </c>
      <c r="L179">
        <f>装備閲覧!R179</f>
        <v>2</v>
      </c>
      <c r="M179">
        <f>装備閲覧!S179</f>
        <v>0</v>
      </c>
      <c r="N179" t="str">
        <f>装備閲覧!T179</f>
        <v>無</v>
      </c>
      <c r="O179">
        <f>装備閲覧!AA179</f>
        <v>10</v>
      </c>
      <c r="P179" s="1" t="str">
        <f>IFERROR(IFERROR(VLOOKUP(C179,改修!A:B,2,0),_xlfn.NUMBERVALUE(VLOOKUP(C179,特殊改修値!C:D,2,0))),"×")</f>
        <v>×</v>
      </c>
      <c r="Q179" t="str">
        <f>IFERROR(VLOOKUP(C179,装備ボーナス!B:C,2,0),"×")</f>
        <v>×</v>
      </c>
      <c r="R179" t="str">
        <f>VLOOKUP(A179,wikiName!A:B,2,0)</f>
        <v>PBY-5A Catalina</v>
      </c>
    </row>
    <row r="180" spans="1:18" x14ac:dyDescent="0.4">
      <c r="A180">
        <f>装備閲覧!B180</f>
        <v>179</v>
      </c>
      <c r="B180" t="str">
        <f>装備閲覧!C180</f>
        <v>魚雷</v>
      </c>
      <c r="C180" t="str">
        <f>装備閲覧!D180</f>
        <v>試製61cm六連装(酸素)魚雷</v>
      </c>
      <c r="D180">
        <f>装備閲覧!H180</f>
        <v>5</v>
      </c>
      <c r="E180">
        <f>装備閲覧!J180</f>
        <v>0</v>
      </c>
      <c r="F180">
        <f>装備閲覧!K180</f>
        <v>14</v>
      </c>
      <c r="G180">
        <f>装備閲覧!L180</f>
        <v>0</v>
      </c>
      <c r="H180">
        <f>装備閲覧!M180</f>
        <v>0</v>
      </c>
      <c r="I180">
        <f>装備閲覧!N180</f>
        <v>0</v>
      </c>
      <c r="J180">
        <f>装備閲覧!O180</f>
        <v>0</v>
      </c>
      <c r="K180">
        <f>装備閲覧!P180</f>
        <v>0</v>
      </c>
      <c r="L180">
        <f>装備閲覧!R180</f>
        <v>2</v>
      </c>
      <c r="M180">
        <f>装備閲覧!S180</f>
        <v>0</v>
      </c>
      <c r="N180" t="str">
        <f>装備閲覧!T180</f>
        <v>短</v>
      </c>
      <c r="O180">
        <f>装備閲覧!AA180</f>
        <v>0</v>
      </c>
      <c r="P180" s="1" t="str">
        <f>IFERROR(IFERROR(VLOOKUP(C180,改修!A:B,2,0),_xlfn.NUMBERVALUE(VLOOKUP(C180,特殊改修値!C:D,2,0))),"×")</f>
        <v>〇</v>
      </c>
      <c r="Q180" t="str">
        <f>IFERROR(VLOOKUP(C180,装備ボーナス!B:C,2,0),"×")</f>
        <v>〇</v>
      </c>
      <c r="R180" t="str">
        <f>VLOOKUP(A180,wikiName!A:B,2,0)</f>
        <v>試製61cm六連装(酸素)魚雷</v>
      </c>
    </row>
    <row r="181" spans="1:18" x14ac:dyDescent="0.4">
      <c r="A181">
        <f>装備閲覧!B181</f>
        <v>180</v>
      </c>
      <c r="B181" t="str">
        <f>装備閲覧!C181</f>
        <v>陸上攻撃機</v>
      </c>
      <c r="C181" t="str">
        <f>装備閲覧!D181</f>
        <v>一式陸攻 二二型甲</v>
      </c>
      <c r="D181">
        <f>装備閲覧!H181</f>
        <v>37</v>
      </c>
      <c r="E181">
        <f>装備閲覧!J181</f>
        <v>0</v>
      </c>
      <c r="F181">
        <f>装備閲覧!K181</f>
        <v>11</v>
      </c>
      <c r="G181">
        <f>装備閲覧!L181</f>
        <v>3</v>
      </c>
      <c r="H181">
        <f>装備閲覧!M181</f>
        <v>0</v>
      </c>
      <c r="I181">
        <f>装備閲覧!N181</f>
        <v>2</v>
      </c>
      <c r="J181">
        <f>装備閲覧!O181</f>
        <v>0</v>
      </c>
      <c r="K181">
        <f>装備閲覧!P181</f>
        <v>4</v>
      </c>
      <c r="L181">
        <f>装備閲覧!R181</f>
        <v>0</v>
      </c>
      <c r="M181">
        <f>装備閲覧!S181</f>
        <v>12</v>
      </c>
      <c r="N181" t="str">
        <f>装備閲覧!T181</f>
        <v>無</v>
      </c>
      <c r="O181">
        <f>装備閲覧!AA181</f>
        <v>10</v>
      </c>
      <c r="P181" s="1">
        <f>IFERROR(IFERROR(VLOOKUP(C181,改修!A:B,2,0),_xlfn.NUMBERVALUE(VLOOKUP(C181,特殊改修値!C:D,2,0))),"×")</f>
        <v>3</v>
      </c>
      <c r="Q181" t="str">
        <f>IFERROR(VLOOKUP(C181,装備ボーナス!B:C,2,0),"×")</f>
        <v>×</v>
      </c>
      <c r="R181" t="str">
        <f>VLOOKUP(A181,wikiName!A:B,2,0)</f>
        <v>一式陸攻 二二型甲</v>
      </c>
    </row>
    <row r="182" spans="1:18" x14ac:dyDescent="0.4">
      <c r="A182">
        <f>装備閲覧!B182</f>
        <v>181</v>
      </c>
      <c r="B182" t="str">
        <f>装備閲覧!C182</f>
        <v>艦上戦闘機</v>
      </c>
      <c r="C182" t="str">
        <f>装備閲覧!D182</f>
        <v>零式艦戦32型</v>
      </c>
      <c r="D182">
        <f>装備閲覧!H182</f>
        <v>6</v>
      </c>
      <c r="E182">
        <f>装備閲覧!J182</f>
        <v>0</v>
      </c>
      <c r="F182">
        <f>装備閲覧!K182</f>
        <v>0</v>
      </c>
      <c r="G182">
        <f>装備閲覧!L182</f>
        <v>5</v>
      </c>
      <c r="H182">
        <f>装備閲覧!M182</f>
        <v>0</v>
      </c>
      <c r="I182">
        <f>装備閲覧!N182</f>
        <v>0</v>
      </c>
      <c r="J182">
        <f>装備閲覧!O182</f>
        <v>2</v>
      </c>
      <c r="K182">
        <f>装備閲覧!P182</f>
        <v>0</v>
      </c>
      <c r="L182">
        <f>装備閲覧!R182</f>
        <v>0</v>
      </c>
      <c r="M182">
        <f>装備閲覧!S182</f>
        <v>0</v>
      </c>
      <c r="N182" t="str">
        <f>装備閲覧!T182</f>
        <v>無</v>
      </c>
      <c r="O182">
        <f>装備閲覧!AA182</f>
        <v>5</v>
      </c>
      <c r="P182" s="1" t="str">
        <f>IFERROR(IFERROR(VLOOKUP(C182,改修!A:B,2,0),_xlfn.NUMBERVALUE(VLOOKUP(C182,特殊改修値!C:D,2,0))),"×")</f>
        <v>〇</v>
      </c>
      <c r="Q182" t="str">
        <f>IFERROR(VLOOKUP(C182,装備ボーナス!B:C,2,0),"×")</f>
        <v>×</v>
      </c>
      <c r="R182" t="str">
        <f>VLOOKUP(A182,wikiName!A:B,2,0)</f>
        <v>零式艦戦32型</v>
      </c>
    </row>
    <row r="183" spans="1:18" x14ac:dyDescent="0.4">
      <c r="A183">
        <f>装備閲覧!B183</f>
        <v>182</v>
      </c>
      <c r="B183" t="str">
        <f>装備閲覧!C183</f>
        <v>艦上戦闘機</v>
      </c>
      <c r="C183" t="str">
        <f>装備閲覧!D183</f>
        <v>零式艦戦32型(熟練)</v>
      </c>
      <c r="D183">
        <f>装備閲覧!H183</f>
        <v>6</v>
      </c>
      <c r="E183">
        <f>装備閲覧!J183</f>
        <v>0</v>
      </c>
      <c r="F183">
        <f>装備閲覧!K183</f>
        <v>0</v>
      </c>
      <c r="G183">
        <f>装備閲覧!L183</f>
        <v>8</v>
      </c>
      <c r="H183">
        <f>装備閲覧!M183</f>
        <v>0</v>
      </c>
      <c r="I183">
        <f>装備閲覧!N183</f>
        <v>0</v>
      </c>
      <c r="J183">
        <f>装備閲覧!O183</f>
        <v>4</v>
      </c>
      <c r="K183">
        <f>装備閲覧!P183</f>
        <v>0</v>
      </c>
      <c r="L183">
        <f>装備閲覧!R183</f>
        <v>1</v>
      </c>
      <c r="M183">
        <f>装備閲覧!S183</f>
        <v>0</v>
      </c>
      <c r="N183" t="str">
        <f>装備閲覧!T183</f>
        <v>無</v>
      </c>
      <c r="O183">
        <f>装備閲覧!AA183</f>
        <v>5</v>
      </c>
      <c r="P183" s="1" t="str">
        <f>IFERROR(IFERROR(VLOOKUP(C183,改修!A:B,2,0),_xlfn.NUMBERVALUE(VLOOKUP(C183,特殊改修値!C:D,2,0))),"×")</f>
        <v>〇</v>
      </c>
      <c r="Q183" t="str">
        <f>IFERROR(VLOOKUP(C183,装備ボーナス!B:C,2,0),"×")</f>
        <v>×</v>
      </c>
      <c r="R183" t="str">
        <f>VLOOKUP(A183,wikiName!A:B,2,0)</f>
        <v>零式艦戦32型(熟練)</v>
      </c>
    </row>
    <row r="184" spans="1:18" x14ac:dyDescent="0.4">
      <c r="A184">
        <f>装備閲覧!B184</f>
        <v>183</v>
      </c>
      <c r="B184" t="str">
        <f>装備閲覧!C184</f>
        <v>大口径主砲</v>
      </c>
      <c r="C184" t="str">
        <f>装備閲覧!D184</f>
        <v>16inch三連装砲 Mk.7+GFCS</v>
      </c>
      <c r="D184">
        <f>装備閲覧!H184</f>
        <v>3</v>
      </c>
      <c r="E184">
        <f>装備閲覧!J184</f>
        <v>24</v>
      </c>
      <c r="F184">
        <f>装備閲覧!K184</f>
        <v>0</v>
      </c>
      <c r="G184">
        <f>装備閲覧!L184</f>
        <v>3</v>
      </c>
      <c r="H184">
        <f>装備閲覧!M184</f>
        <v>1</v>
      </c>
      <c r="I184">
        <f>装備閲覧!N184</f>
        <v>0</v>
      </c>
      <c r="J184">
        <f>装備閲覧!O184</f>
        <v>1</v>
      </c>
      <c r="K184">
        <f>装備閲覧!P184</f>
        <v>0</v>
      </c>
      <c r="L184">
        <f>装備閲覧!R184</f>
        <v>7</v>
      </c>
      <c r="M184">
        <f>装備閲覧!S184</f>
        <v>0</v>
      </c>
      <c r="N184" t="str">
        <f>装備閲覧!T184</f>
        <v>長</v>
      </c>
      <c r="O184">
        <f>装備閲覧!AA184</f>
        <v>0</v>
      </c>
      <c r="P184" s="1" t="str">
        <f>IFERROR(IFERROR(VLOOKUP(C184,改修!A:B,2,0),_xlfn.NUMBERVALUE(VLOOKUP(C184,特殊改修値!C:D,2,0))),"×")</f>
        <v>〇</v>
      </c>
      <c r="Q184" t="str">
        <f>IFERROR(VLOOKUP(C184,装備ボーナス!B:C,2,0),"×")</f>
        <v>×</v>
      </c>
      <c r="R184" t="str">
        <f>VLOOKUP(A184,wikiName!A:B,2,0)</f>
        <v>16inch三連装砲 Mk.7＋GFCS</v>
      </c>
    </row>
    <row r="185" spans="1:18" x14ac:dyDescent="0.4">
      <c r="A185">
        <f>装備閲覧!B185</f>
        <v>184</v>
      </c>
      <c r="B185" t="str">
        <f>装備閲覧!C185</f>
        <v>艦上戦闘機</v>
      </c>
      <c r="C185" t="str">
        <f>装備閲覧!D185</f>
        <v>Re.2001 OR改</v>
      </c>
      <c r="D185">
        <f>装備閲覧!H185</f>
        <v>6</v>
      </c>
      <c r="E185">
        <f>装備閲覧!J185</f>
        <v>3</v>
      </c>
      <c r="F185">
        <f>装備閲覧!K185</f>
        <v>0</v>
      </c>
      <c r="G185">
        <f>装備閲覧!L185</f>
        <v>6</v>
      </c>
      <c r="H185">
        <f>装備閲覧!M185</f>
        <v>0</v>
      </c>
      <c r="I185">
        <f>装備閲覧!N185</f>
        <v>0</v>
      </c>
      <c r="J185">
        <f>装備閲覧!O185</f>
        <v>2</v>
      </c>
      <c r="K185">
        <f>装備閲覧!P185</f>
        <v>0</v>
      </c>
      <c r="L185">
        <f>装備閲覧!R185</f>
        <v>0</v>
      </c>
      <c r="M185">
        <f>装備閲覧!S185</f>
        <v>0</v>
      </c>
      <c r="N185" t="str">
        <f>装備閲覧!T185</f>
        <v>無</v>
      </c>
      <c r="O185">
        <f>装備閲覧!AA185</f>
        <v>4</v>
      </c>
      <c r="P185" s="1" t="str">
        <f>IFERROR(IFERROR(VLOOKUP(C185,改修!A:B,2,0),_xlfn.NUMBERVALUE(VLOOKUP(C185,特殊改修値!C:D,2,0))),"×")</f>
        <v>〇</v>
      </c>
      <c r="Q185" t="str">
        <f>IFERROR(VLOOKUP(C185,装備ボーナス!B:C,2,0),"×")</f>
        <v>〇</v>
      </c>
      <c r="R185" t="str">
        <f>VLOOKUP(A185,wikiName!A:B,2,0)</f>
        <v>Re.2001 OR改</v>
      </c>
    </row>
    <row r="186" spans="1:18" x14ac:dyDescent="0.4">
      <c r="A186">
        <f>装備閲覧!B186</f>
        <v>185</v>
      </c>
      <c r="B186" t="str">
        <f>装備閲覧!C186</f>
        <v>局地戦闘機</v>
      </c>
      <c r="C186" t="str">
        <f>装備閲覧!D186</f>
        <v>三式戦 飛燕一型丁</v>
      </c>
      <c r="D186">
        <f>装備閲覧!H186</f>
        <v>44</v>
      </c>
      <c r="E186">
        <f>装備閲覧!J186</f>
        <v>0</v>
      </c>
      <c r="F186">
        <f>装備閲覧!K186</f>
        <v>0</v>
      </c>
      <c r="G186">
        <f>装備閲覧!L186</f>
        <v>9</v>
      </c>
      <c r="H186">
        <f>装備閲覧!M186</f>
        <v>0</v>
      </c>
      <c r="I186">
        <f>装備閲覧!N186</f>
        <v>0</v>
      </c>
      <c r="J186">
        <f>装備閲覧!O186</f>
        <v>3</v>
      </c>
      <c r="K186">
        <f>装備閲覧!P186</f>
        <v>0</v>
      </c>
      <c r="L186">
        <f>装備閲覧!R186</f>
        <v>2</v>
      </c>
      <c r="M186">
        <f>装備閲覧!S186</f>
        <v>0</v>
      </c>
      <c r="N186" t="str">
        <f>装備閲覧!T186</f>
        <v>無</v>
      </c>
      <c r="O186">
        <f>装備閲覧!AA186</f>
        <v>4</v>
      </c>
      <c r="P186" s="1">
        <f>IFERROR(IFERROR(VLOOKUP(C186,改修!A:B,2,0),_xlfn.NUMBERVALUE(VLOOKUP(C186,特殊改修値!C:D,2,0))),"×")</f>
        <v>3</v>
      </c>
      <c r="Q186" t="str">
        <f>IFERROR(VLOOKUP(C186,装備ボーナス!B:C,2,0),"×")</f>
        <v>×</v>
      </c>
      <c r="R186" t="str">
        <f>VLOOKUP(A186,wikiName!A:B,2,0)</f>
        <v>三式戦 飛燕一型丁</v>
      </c>
    </row>
    <row r="187" spans="1:18" x14ac:dyDescent="0.4">
      <c r="A187">
        <f>装備閲覧!B187</f>
        <v>186</v>
      </c>
      <c r="B187" t="str">
        <f>装備閲覧!C187</f>
        <v>陸上攻撃機</v>
      </c>
      <c r="C187" t="str">
        <f>装備閲覧!D187</f>
        <v>一式陸攻 三四型</v>
      </c>
      <c r="D187">
        <f>装備閲覧!H187</f>
        <v>37</v>
      </c>
      <c r="E187">
        <f>装備閲覧!J187</f>
        <v>0</v>
      </c>
      <c r="F187">
        <f>装備閲覧!K187</f>
        <v>11</v>
      </c>
      <c r="G187">
        <f>装備閲覧!L187</f>
        <v>4</v>
      </c>
      <c r="H187">
        <f>装備閲覧!M187</f>
        <v>0</v>
      </c>
      <c r="I187">
        <f>装備閲覧!N187</f>
        <v>2</v>
      </c>
      <c r="J187">
        <f>装備閲覧!O187</f>
        <v>0</v>
      </c>
      <c r="K187">
        <f>装備閲覧!P187</f>
        <v>4</v>
      </c>
      <c r="L187">
        <f>装備閲覧!R187</f>
        <v>1</v>
      </c>
      <c r="M187">
        <f>装備閲覧!S187</f>
        <v>12</v>
      </c>
      <c r="N187" t="str">
        <f>装備閲覧!T187</f>
        <v>無</v>
      </c>
      <c r="O187">
        <f>装備閲覧!AA187</f>
        <v>8</v>
      </c>
      <c r="P187" s="1">
        <f>IFERROR(IFERROR(VLOOKUP(C187,改修!A:B,2,0),_xlfn.NUMBERVALUE(VLOOKUP(C187,特殊改修値!C:D,2,0))),"×")</f>
        <v>4</v>
      </c>
      <c r="Q187" t="str">
        <f>IFERROR(VLOOKUP(C187,装備ボーナス!B:C,2,0),"×")</f>
        <v>×</v>
      </c>
      <c r="R187" t="str">
        <f>VLOOKUP(A187,wikiName!A:B,2,0)</f>
        <v>一式陸攻 三四型</v>
      </c>
    </row>
    <row r="188" spans="1:18" x14ac:dyDescent="0.4">
      <c r="A188">
        <f>装備閲覧!B188</f>
        <v>187</v>
      </c>
      <c r="B188" t="str">
        <f>装備閲覧!C188</f>
        <v>陸上攻撃機</v>
      </c>
      <c r="C188" t="str">
        <f>装備閲覧!D188</f>
        <v>銀河</v>
      </c>
      <c r="D188">
        <f>装備閲覧!H188</f>
        <v>37</v>
      </c>
      <c r="E188">
        <f>装備閲覧!J188</f>
        <v>0</v>
      </c>
      <c r="F188">
        <f>装備閲覧!K188</f>
        <v>14</v>
      </c>
      <c r="G188">
        <f>装備閲覧!L188</f>
        <v>3</v>
      </c>
      <c r="H188">
        <f>装備閲覧!M188</f>
        <v>0</v>
      </c>
      <c r="I188">
        <f>装備閲覧!N188</f>
        <v>3</v>
      </c>
      <c r="J188">
        <f>装備閲覧!O188</f>
        <v>0</v>
      </c>
      <c r="K188">
        <f>装備閲覧!P188</f>
        <v>3</v>
      </c>
      <c r="L188">
        <f>装備閲覧!R188</f>
        <v>1</v>
      </c>
      <c r="M188">
        <f>装備閲覧!S188</f>
        <v>14</v>
      </c>
      <c r="N188" t="str">
        <f>装備閲覧!T188</f>
        <v>無</v>
      </c>
      <c r="O188">
        <f>装備閲覧!AA188</f>
        <v>9</v>
      </c>
      <c r="P188" s="1">
        <f>IFERROR(IFERROR(VLOOKUP(C188,改修!A:B,2,0),_xlfn.NUMBERVALUE(VLOOKUP(C188,特殊改修値!C:D,2,0))),"×")</f>
        <v>3</v>
      </c>
      <c r="Q188" t="str">
        <f>IFERROR(VLOOKUP(C188,装備ボーナス!B:C,2,0),"×")</f>
        <v>×</v>
      </c>
      <c r="R188" t="str">
        <f>VLOOKUP(A188,wikiName!A:B,2,0)</f>
        <v>銀河</v>
      </c>
    </row>
    <row r="189" spans="1:18" x14ac:dyDescent="0.4">
      <c r="A189">
        <f>装備閲覧!B189</f>
        <v>188</v>
      </c>
      <c r="B189" t="str">
        <f>装備閲覧!C189</f>
        <v>艦上攻撃機</v>
      </c>
      <c r="C189" t="str">
        <f>装備閲覧!D189</f>
        <v>Re.2001 G改</v>
      </c>
      <c r="D189">
        <f>装備閲覧!H189</f>
        <v>8</v>
      </c>
      <c r="E189">
        <f>装備閲覧!J189</f>
        <v>3</v>
      </c>
      <c r="F189">
        <f>装備閲覧!K189</f>
        <v>4</v>
      </c>
      <c r="G189">
        <f>装備閲覧!L189</f>
        <v>4</v>
      </c>
      <c r="H189">
        <f>装備閲覧!M189</f>
        <v>0</v>
      </c>
      <c r="I189">
        <f>装備閲覧!N189</f>
        <v>0</v>
      </c>
      <c r="J189">
        <f>装備閲覧!O189</f>
        <v>2</v>
      </c>
      <c r="K189">
        <f>装備閲覧!P189</f>
        <v>0</v>
      </c>
      <c r="L189">
        <f>装備閲覧!R189</f>
        <v>0</v>
      </c>
      <c r="M189">
        <f>装備閲覧!S189</f>
        <v>0</v>
      </c>
      <c r="N189" t="str">
        <f>装備閲覧!T189</f>
        <v>無</v>
      </c>
      <c r="O189">
        <f>装備閲覧!AA189</f>
        <v>3</v>
      </c>
      <c r="P189" s="1" t="str">
        <f>IFERROR(IFERROR(VLOOKUP(C189,改修!A:B,2,0),_xlfn.NUMBERVALUE(VLOOKUP(C189,特殊改修値!C:D,2,0))),"×")</f>
        <v>×</v>
      </c>
      <c r="Q189" t="str">
        <f>IFERROR(VLOOKUP(C189,装備ボーナス!B:C,2,0),"×")</f>
        <v>〇</v>
      </c>
      <c r="R189" t="str">
        <f>VLOOKUP(A189,wikiName!A:B,2,0)</f>
        <v>Re.2001 G改</v>
      </c>
    </row>
    <row r="190" spans="1:18" x14ac:dyDescent="0.4">
      <c r="A190">
        <f>装備閲覧!B190</f>
        <v>189</v>
      </c>
      <c r="B190" t="str">
        <f>装備閲覧!C190</f>
        <v>艦上戦闘機</v>
      </c>
      <c r="C190" t="str">
        <f>装備閲覧!D190</f>
        <v>Re.2005 改</v>
      </c>
      <c r="D190">
        <f>装備閲覧!H190</f>
        <v>6</v>
      </c>
      <c r="E190">
        <f>装備閲覧!J190</f>
        <v>1</v>
      </c>
      <c r="F190">
        <f>装備閲覧!K190</f>
        <v>0</v>
      </c>
      <c r="G190">
        <f>装備閲覧!L190</f>
        <v>11</v>
      </c>
      <c r="H190">
        <f>装備閲覧!M190</f>
        <v>0</v>
      </c>
      <c r="I190">
        <f>装備閲覧!N190</f>
        <v>0</v>
      </c>
      <c r="J190">
        <f>装備閲覧!O190</f>
        <v>3</v>
      </c>
      <c r="K190">
        <f>装備閲覧!P190</f>
        <v>0</v>
      </c>
      <c r="L190">
        <f>装備閲覧!R190</f>
        <v>0</v>
      </c>
      <c r="M190">
        <f>装備閲覧!S190</f>
        <v>0</v>
      </c>
      <c r="N190" t="str">
        <f>装備閲覧!T190</f>
        <v>無</v>
      </c>
      <c r="O190">
        <f>装備閲覧!AA190</f>
        <v>3</v>
      </c>
      <c r="P190" s="1" t="str">
        <f>IFERROR(IFERROR(VLOOKUP(C190,改修!A:B,2,0),_xlfn.NUMBERVALUE(VLOOKUP(C190,特殊改修値!C:D,2,0))),"×")</f>
        <v>×</v>
      </c>
      <c r="Q190" t="str">
        <f>IFERROR(VLOOKUP(C190,装備ボーナス!B:C,2,0),"×")</f>
        <v>〇</v>
      </c>
      <c r="R190" t="str">
        <f>VLOOKUP(A190,wikiName!A:B,2,0)</f>
        <v>Re.2005 改</v>
      </c>
    </row>
    <row r="191" spans="1:18" x14ac:dyDescent="0.4">
      <c r="A191">
        <f>装備閲覧!B191</f>
        <v>190</v>
      </c>
      <c r="B191" t="str">
        <f>装備閲覧!C191</f>
        <v>大口径主砲</v>
      </c>
      <c r="C191" t="str">
        <f>装備閲覧!D191</f>
        <v>38.1cm Mk.I連装砲</v>
      </c>
      <c r="D191">
        <f>装備閲覧!H191</f>
        <v>3</v>
      </c>
      <c r="E191">
        <f>装備閲覧!J191</f>
        <v>18</v>
      </c>
      <c r="F191">
        <f>装備閲覧!K191</f>
        <v>0</v>
      </c>
      <c r="G191">
        <f>装備閲覧!L191</f>
        <v>1</v>
      </c>
      <c r="H191">
        <f>装備閲覧!M191</f>
        <v>0</v>
      </c>
      <c r="I191">
        <f>装備閲覧!N191</f>
        <v>0</v>
      </c>
      <c r="J191">
        <f>装備閲覧!O191</f>
        <v>0</v>
      </c>
      <c r="K191">
        <f>装備閲覧!P191</f>
        <v>0</v>
      </c>
      <c r="L191">
        <f>装備閲覧!R191</f>
        <v>1</v>
      </c>
      <c r="M191">
        <f>装備閲覧!S191</f>
        <v>0</v>
      </c>
      <c r="N191" t="str">
        <f>装備閲覧!T191</f>
        <v>長</v>
      </c>
      <c r="O191">
        <f>装備閲覧!AA191</f>
        <v>0</v>
      </c>
      <c r="P191" s="1" t="str">
        <f>IFERROR(IFERROR(VLOOKUP(C191,改修!A:B,2,0),_xlfn.NUMBERVALUE(VLOOKUP(C191,特殊改修値!C:D,2,0))),"×")</f>
        <v>〇</v>
      </c>
      <c r="Q191" t="str">
        <f>IFERROR(VLOOKUP(C191,装備ボーナス!B:C,2,0),"×")</f>
        <v>×</v>
      </c>
      <c r="R191" t="str">
        <f>VLOOKUP(A191,wikiName!A:B,2,0)</f>
        <v>38.1cm Mk.I連装砲</v>
      </c>
    </row>
    <row r="192" spans="1:18" x14ac:dyDescent="0.4">
      <c r="A192">
        <f>装備閲覧!B192</f>
        <v>191</v>
      </c>
      <c r="B192" t="str">
        <f>装備閲覧!C192</f>
        <v>対空機銃</v>
      </c>
      <c r="C192" t="str">
        <f>装備閲覧!D192</f>
        <v>QF 2ポンド8連装ポンポン砲</v>
      </c>
      <c r="D192">
        <f>装備閲覧!H192</f>
        <v>15</v>
      </c>
      <c r="E192">
        <f>装備閲覧!J192</f>
        <v>1</v>
      </c>
      <c r="F192">
        <f>装備閲覧!K192</f>
        <v>0</v>
      </c>
      <c r="G192">
        <f>装備閲覧!L192</f>
        <v>10</v>
      </c>
      <c r="H192">
        <f>装備閲覧!M192</f>
        <v>0</v>
      </c>
      <c r="I192">
        <f>装備閲覧!N192</f>
        <v>0</v>
      </c>
      <c r="J192">
        <f>装備閲覧!O192</f>
        <v>0</v>
      </c>
      <c r="K192">
        <f>装備閲覧!P192</f>
        <v>0</v>
      </c>
      <c r="L192">
        <f>装備閲覧!R192</f>
        <v>0</v>
      </c>
      <c r="M192">
        <f>装備閲覧!S192</f>
        <v>0</v>
      </c>
      <c r="N192" t="str">
        <f>装備閲覧!T192</f>
        <v>無</v>
      </c>
      <c r="O192">
        <f>装備閲覧!AA192</f>
        <v>0</v>
      </c>
      <c r="P192" s="1" t="str">
        <f>IFERROR(IFERROR(VLOOKUP(C192,改修!A:B,2,0),_xlfn.NUMBERVALUE(VLOOKUP(C192,特殊改修値!C:D,2,0))),"×")</f>
        <v>×</v>
      </c>
      <c r="Q192" t="str">
        <f>IFERROR(VLOOKUP(C192,装備ボーナス!B:C,2,0),"×")</f>
        <v>×</v>
      </c>
      <c r="R192" t="str">
        <f>VLOOKUP(A192,wikiName!A:B,2,0)</f>
        <v>QF 2ポンド8連装ポンポン砲</v>
      </c>
    </row>
    <row r="193" spans="1:18" x14ac:dyDescent="0.4">
      <c r="A193">
        <f>装備閲覧!B193</f>
        <v>192</v>
      </c>
      <c r="B193" t="str">
        <f>装備閲覧!C193</f>
        <v>大口径主砲</v>
      </c>
      <c r="C193" t="str">
        <f>装備閲覧!D193</f>
        <v>38.1cm Mk.I/N連装砲改</v>
      </c>
      <c r="D193">
        <f>装備閲覧!H193</f>
        <v>3</v>
      </c>
      <c r="E193">
        <f>装備閲覧!J193</f>
        <v>19</v>
      </c>
      <c r="F193">
        <f>装備閲覧!K193</f>
        <v>0</v>
      </c>
      <c r="G193">
        <f>装備閲覧!L193</f>
        <v>3</v>
      </c>
      <c r="H193">
        <f>装備閲覧!M193</f>
        <v>0</v>
      </c>
      <c r="I193">
        <f>装備閲覧!N193</f>
        <v>0</v>
      </c>
      <c r="J193">
        <f>装備閲覧!O193</f>
        <v>0</v>
      </c>
      <c r="K193">
        <f>装備閲覧!P193</f>
        <v>0</v>
      </c>
      <c r="L193">
        <f>装備閲覧!R193</f>
        <v>2</v>
      </c>
      <c r="M193">
        <f>装備閲覧!S193</f>
        <v>0</v>
      </c>
      <c r="N193" t="str">
        <f>装備閲覧!T193</f>
        <v>長</v>
      </c>
      <c r="O193">
        <f>装備閲覧!AA193</f>
        <v>0</v>
      </c>
      <c r="P193" s="1" t="str">
        <f>IFERROR(IFERROR(VLOOKUP(C193,改修!A:B,2,0),_xlfn.NUMBERVALUE(VLOOKUP(C193,特殊改修値!C:D,2,0))),"×")</f>
        <v>〇</v>
      </c>
      <c r="Q193" t="str">
        <f>IFERROR(VLOOKUP(C193,装備ボーナス!B:C,2,0),"×")</f>
        <v>×</v>
      </c>
      <c r="R193" t="str">
        <f>VLOOKUP(A193,wikiName!A:B,2,0)</f>
        <v>38.1cm Mk.I/N連装砲改</v>
      </c>
    </row>
    <row r="194" spans="1:18" x14ac:dyDescent="0.4">
      <c r="A194">
        <f>装備閲覧!B194</f>
        <v>193</v>
      </c>
      <c r="B194" t="str">
        <f>装備閲覧!C194</f>
        <v>上陸用舟艇</v>
      </c>
      <c r="C194" t="str">
        <f>装備閲覧!D194</f>
        <v>特大発動艇</v>
      </c>
      <c r="D194">
        <f>装備閲覧!H194</f>
        <v>20</v>
      </c>
      <c r="E194">
        <f>装備閲覧!J194</f>
        <v>0</v>
      </c>
      <c r="F194">
        <f>装備閲覧!K194</f>
        <v>0</v>
      </c>
      <c r="G194">
        <f>装備閲覧!L194</f>
        <v>0</v>
      </c>
      <c r="H194">
        <f>装備閲覧!M194</f>
        <v>0</v>
      </c>
      <c r="I194">
        <f>装備閲覧!N194</f>
        <v>0</v>
      </c>
      <c r="J194">
        <f>装備閲覧!O194</f>
        <v>0</v>
      </c>
      <c r="K194">
        <f>装備閲覧!P194</f>
        <v>0</v>
      </c>
      <c r="L194">
        <f>装備閲覧!R194</f>
        <v>0</v>
      </c>
      <c r="M194">
        <f>装備閲覧!S194</f>
        <v>0</v>
      </c>
      <c r="N194" t="str">
        <f>装備閲覧!T194</f>
        <v>無</v>
      </c>
      <c r="O194">
        <f>装備閲覧!AA194</f>
        <v>0</v>
      </c>
      <c r="P194" s="1" t="str">
        <f>IFERROR(IFERROR(VLOOKUP(C194,改修!A:B,2,0),_xlfn.NUMBERVALUE(VLOOKUP(C194,特殊改修値!C:D,2,0))),"×")</f>
        <v>〇</v>
      </c>
      <c r="Q194" t="str">
        <f>IFERROR(VLOOKUP(C194,装備ボーナス!B:C,2,0),"×")</f>
        <v>×</v>
      </c>
      <c r="R194" t="str">
        <f>VLOOKUP(A194,wikiName!A:B,2,0)</f>
        <v>特大発動艇</v>
      </c>
    </row>
    <row r="195" spans="1:18" x14ac:dyDescent="0.4">
      <c r="A195">
        <f>装備閲覧!B195</f>
        <v>194</v>
      </c>
      <c r="B195" t="str">
        <f>装備閲覧!C195</f>
        <v>水上爆撃機</v>
      </c>
      <c r="C195" t="str">
        <f>装備閲覧!D195</f>
        <v>Late 298B</v>
      </c>
      <c r="D195">
        <f>装備閲覧!H195</f>
        <v>10</v>
      </c>
      <c r="E195">
        <f>装備閲覧!J195</f>
        <v>2</v>
      </c>
      <c r="F195">
        <f>装備閲覧!K195</f>
        <v>4</v>
      </c>
      <c r="G195">
        <f>装備閲覧!L195</f>
        <v>1</v>
      </c>
      <c r="H195">
        <f>装備閲覧!M195</f>
        <v>0</v>
      </c>
      <c r="I195">
        <f>装備閲覧!N195</f>
        <v>2</v>
      </c>
      <c r="J195">
        <f>装備閲覧!O195</f>
        <v>1</v>
      </c>
      <c r="K195">
        <f>装備閲覧!P195</f>
        <v>4</v>
      </c>
      <c r="L195">
        <f>装備閲覧!R195</f>
        <v>0</v>
      </c>
      <c r="M195">
        <f>装備閲覧!S195</f>
        <v>5</v>
      </c>
      <c r="N195" t="str">
        <f>装備閲覧!T195</f>
        <v>無</v>
      </c>
      <c r="O195">
        <f>装備閲覧!AA195</f>
        <v>4</v>
      </c>
      <c r="P195" s="1" t="str">
        <f>IFERROR(IFERROR(VLOOKUP(C195,改修!A:B,2,0),_xlfn.NUMBERVALUE(VLOOKUP(C195,特殊改修値!C:D,2,0))),"×")</f>
        <v>〇</v>
      </c>
      <c r="Q195" t="str">
        <f>IFERROR(VLOOKUP(C195,装備ボーナス!B:C,2,0),"×")</f>
        <v>〇</v>
      </c>
      <c r="R195" t="str">
        <f>VLOOKUP(A195,wikiName!A:B,2,0)</f>
        <v>Laté 298B</v>
      </c>
    </row>
    <row r="196" spans="1:18" x14ac:dyDescent="0.4">
      <c r="A196">
        <f>装備閲覧!B196</f>
        <v>195</v>
      </c>
      <c r="B196" t="str">
        <f>装備閲覧!C196</f>
        <v>艦上爆撃機</v>
      </c>
      <c r="C196" t="str">
        <f>装備閲覧!D196</f>
        <v>SBD</v>
      </c>
      <c r="D196">
        <f>装備閲覧!H196</f>
        <v>7</v>
      </c>
      <c r="E196">
        <f>装備閲覧!J196</f>
        <v>1</v>
      </c>
      <c r="F196">
        <f>装備閲覧!K196</f>
        <v>0</v>
      </c>
      <c r="G196">
        <f>装備閲覧!L196</f>
        <v>2</v>
      </c>
      <c r="H196">
        <f>装備閲覧!M196</f>
        <v>0</v>
      </c>
      <c r="I196">
        <f>装備閲覧!N196</f>
        <v>3</v>
      </c>
      <c r="J196">
        <f>装備閲覧!O196</f>
        <v>2</v>
      </c>
      <c r="K196">
        <f>装備閲覧!P196</f>
        <v>2</v>
      </c>
      <c r="L196">
        <f>装備閲覧!R196</f>
        <v>1</v>
      </c>
      <c r="M196">
        <f>装備閲覧!S196</f>
        <v>6</v>
      </c>
      <c r="N196" t="str">
        <f>装備閲覧!T196</f>
        <v>無</v>
      </c>
      <c r="O196">
        <f>装備閲覧!AA196</f>
        <v>4</v>
      </c>
      <c r="P196" s="1" t="str">
        <f>IFERROR(IFERROR(VLOOKUP(C196,改修!A:B,2,0),_xlfn.NUMBERVALUE(VLOOKUP(C196,特殊改修値!C:D,2,0))),"×")</f>
        <v>×</v>
      </c>
      <c r="Q196" t="str">
        <f>IFERROR(VLOOKUP(C196,装備ボーナス!B:C,2,0),"×")</f>
        <v>×</v>
      </c>
      <c r="R196" t="str">
        <f>VLOOKUP(A196,wikiName!A:B,2,0)</f>
        <v>SBD</v>
      </c>
    </row>
    <row r="197" spans="1:18" x14ac:dyDescent="0.4">
      <c r="A197">
        <f>装備閲覧!B197</f>
        <v>196</v>
      </c>
      <c r="B197" t="str">
        <f>装備閲覧!C197</f>
        <v>艦上攻撃機</v>
      </c>
      <c r="C197" t="str">
        <f>装備閲覧!D197</f>
        <v>TBD</v>
      </c>
      <c r="D197">
        <f>装備閲覧!H197</f>
        <v>8</v>
      </c>
      <c r="E197">
        <f>装備閲覧!J197</f>
        <v>1</v>
      </c>
      <c r="F197">
        <f>装備閲覧!K197</f>
        <v>5</v>
      </c>
      <c r="G197">
        <f>装備閲覧!L197</f>
        <v>0</v>
      </c>
      <c r="H197">
        <f>装備閲覧!M197</f>
        <v>0</v>
      </c>
      <c r="I197">
        <f>装備閲覧!N197</f>
        <v>4</v>
      </c>
      <c r="J197">
        <f>装備閲覧!O197</f>
        <v>0</v>
      </c>
      <c r="K197">
        <f>装備閲覧!P197</f>
        <v>2</v>
      </c>
      <c r="L197">
        <f>装備閲覧!R197</f>
        <v>0</v>
      </c>
      <c r="M197">
        <f>装備閲覧!S197</f>
        <v>0</v>
      </c>
      <c r="N197" t="str">
        <f>装備閲覧!T197</f>
        <v>無</v>
      </c>
      <c r="O197">
        <f>装備閲覧!AA197</f>
        <v>4</v>
      </c>
      <c r="P197" s="1">
        <f>IFERROR(IFERROR(VLOOKUP(C197,改修!A:B,2,0),_xlfn.NUMBERVALUE(VLOOKUP(C197,特殊改修値!C:D,2,0))),"×")</f>
        <v>3</v>
      </c>
      <c r="Q197" t="str">
        <f>IFERROR(VLOOKUP(C197,装備ボーナス!B:C,2,0),"×")</f>
        <v>×</v>
      </c>
      <c r="R197" t="str">
        <f>VLOOKUP(A197,wikiName!A:B,2,0)</f>
        <v>TBD</v>
      </c>
    </row>
    <row r="198" spans="1:18" x14ac:dyDescent="0.4">
      <c r="A198">
        <f>装備閲覧!B198</f>
        <v>197</v>
      </c>
      <c r="B198" t="str">
        <f>装備閲覧!C198</f>
        <v>艦上戦闘機</v>
      </c>
      <c r="C198" t="str">
        <f>装備閲覧!D198</f>
        <v>F4F-3</v>
      </c>
      <c r="D198">
        <f>装備閲覧!H198</f>
        <v>6</v>
      </c>
      <c r="E198">
        <f>装備閲覧!J198</f>
        <v>1</v>
      </c>
      <c r="F198">
        <f>装備閲覧!K198</f>
        <v>0</v>
      </c>
      <c r="G198">
        <f>装備閲覧!L198</f>
        <v>4</v>
      </c>
      <c r="H198">
        <f>装備閲覧!M198</f>
        <v>0</v>
      </c>
      <c r="I198">
        <f>装備閲覧!N198</f>
        <v>0</v>
      </c>
      <c r="J198">
        <f>装備閲覧!O198</f>
        <v>2</v>
      </c>
      <c r="K198">
        <f>装備閲覧!P198</f>
        <v>0</v>
      </c>
      <c r="L198">
        <f>装備閲覧!R198</f>
        <v>0</v>
      </c>
      <c r="M198">
        <f>装備閲覧!S198</f>
        <v>0</v>
      </c>
      <c r="N198" t="str">
        <f>装備閲覧!T198</f>
        <v>無</v>
      </c>
      <c r="O198">
        <f>装備閲覧!AA198</f>
        <v>4</v>
      </c>
      <c r="P198" s="1" t="str">
        <f>IFERROR(IFERROR(VLOOKUP(C198,改修!A:B,2,0),_xlfn.NUMBERVALUE(VLOOKUP(C198,特殊改修値!C:D,2,0))),"×")</f>
        <v>〇</v>
      </c>
      <c r="Q198" t="str">
        <f>IFERROR(VLOOKUP(C198,装備ボーナス!B:C,2,0),"×")</f>
        <v>×</v>
      </c>
      <c r="R198" t="str">
        <f>VLOOKUP(A198,wikiName!A:B,2,0)</f>
        <v>F4F-3</v>
      </c>
    </row>
    <row r="199" spans="1:18" x14ac:dyDescent="0.4">
      <c r="A199">
        <f>装備閲覧!B199</f>
        <v>198</v>
      </c>
      <c r="B199" t="str">
        <f>装備閲覧!C199</f>
        <v>艦上戦闘機</v>
      </c>
      <c r="C199" t="str">
        <f>装備閲覧!D199</f>
        <v>F4F-4</v>
      </c>
      <c r="D199">
        <f>装備閲覧!H199</f>
        <v>6</v>
      </c>
      <c r="E199">
        <f>装備閲覧!J199</f>
        <v>1</v>
      </c>
      <c r="F199">
        <f>装備閲覧!K199</f>
        <v>0</v>
      </c>
      <c r="G199">
        <f>装備閲覧!L199</f>
        <v>5</v>
      </c>
      <c r="H199">
        <f>装備閲覧!M199</f>
        <v>0</v>
      </c>
      <c r="I199">
        <f>装備閲覧!N199</f>
        <v>0</v>
      </c>
      <c r="J199">
        <f>装備閲覧!O199</f>
        <v>2</v>
      </c>
      <c r="K199">
        <f>装備閲覧!P199</f>
        <v>1</v>
      </c>
      <c r="L199">
        <f>装備閲覧!R199</f>
        <v>1</v>
      </c>
      <c r="M199">
        <f>装備閲覧!S199</f>
        <v>0</v>
      </c>
      <c r="N199" t="str">
        <f>装備閲覧!T199</f>
        <v>無</v>
      </c>
      <c r="O199">
        <f>装備閲覧!AA199</f>
        <v>4</v>
      </c>
      <c r="P199" s="1" t="str">
        <f>IFERROR(IFERROR(VLOOKUP(C199,改修!A:B,2,0),_xlfn.NUMBERVALUE(VLOOKUP(C199,特殊改修値!C:D,2,0))),"×")</f>
        <v>〇</v>
      </c>
      <c r="Q199" t="str">
        <f>IFERROR(VLOOKUP(C199,装備ボーナス!B:C,2,0),"×")</f>
        <v>×</v>
      </c>
      <c r="R199" t="str">
        <f>VLOOKUP(A199,wikiName!A:B,2,0)</f>
        <v>F4F-4</v>
      </c>
    </row>
    <row r="200" spans="1:18" x14ac:dyDescent="0.4">
      <c r="A200">
        <f>装備閲覧!B200</f>
        <v>199</v>
      </c>
      <c r="B200" t="str">
        <f>装備閲覧!C200</f>
        <v>噴式戦闘爆撃機</v>
      </c>
      <c r="C200" t="str">
        <f>装備閲覧!D200</f>
        <v>噴式景雲改</v>
      </c>
      <c r="D200">
        <f>装備閲覧!H200</f>
        <v>39</v>
      </c>
      <c r="E200">
        <f>装備閲覧!J200</f>
        <v>0</v>
      </c>
      <c r="F200">
        <f>装備閲覧!K200</f>
        <v>0</v>
      </c>
      <c r="G200">
        <f>装備閲覧!L200</f>
        <v>6</v>
      </c>
      <c r="H200">
        <f>装備閲覧!M200</f>
        <v>0</v>
      </c>
      <c r="I200">
        <f>装備閲覧!N200</f>
        <v>0</v>
      </c>
      <c r="J200">
        <f>装備閲覧!O200</f>
        <v>0</v>
      </c>
      <c r="K200">
        <f>装備閲覧!P200</f>
        <v>3</v>
      </c>
      <c r="L200">
        <f>装備閲覧!R200</f>
        <v>1</v>
      </c>
      <c r="M200">
        <f>装備閲覧!S200</f>
        <v>15</v>
      </c>
      <c r="N200" t="str">
        <f>装備閲覧!T200</f>
        <v>長</v>
      </c>
      <c r="O200">
        <f>装備閲覧!AA200</f>
        <v>3</v>
      </c>
      <c r="P200" s="1" t="str">
        <f>IFERROR(IFERROR(VLOOKUP(C200,改修!A:B,2,0),_xlfn.NUMBERVALUE(VLOOKUP(C200,特殊改修値!C:D,2,0))),"×")</f>
        <v>×</v>
      </c>
      <c r="Q200" t="str">
        <f>IFERROR(VLOOKUP(C200,装備ボーナス!B:C,2,0),"×")</f>
        <v>×</v>
      </c>
      <c r="R200" t="str">
        <f>VLOOKUP(A200,wikiName!A:B,2,0)</f>
        <v>噴式景雲改</v>
      </c>
    </row>
    <row r="201" spans="1:18" x14ac:dyDescent="0.4">
      <c r="A201">
        <f>装備閲覧!B201</f>
        <v>200</v>
      </c>
      <c r="B201" t="str">
        <f>装備閲覧!C201</f>
        <v>噴式戦闘爆撃機</v>
      </c>
      <c r="C201" t="str">
        <f>装備閲覧!D201</f>
        <v>橘花改</v>
      </c>
      <c r="D201">
        <f>装備閲覧!H201</f>
        <v>40</v>
      </c>
      <c r="E201">
        <f>装備閲覧!J201</f>
        <v>0</v>
      </c>
      <c r="F201">
        <f>装備閲覧!K201</f>
        <v>0</v>
      </c>
      <c r="G201">
        <f>装備閲覧!L201</f>
        <v>12</v>
      </c>
      <c r="H201">
        <f>装備閲覧!M201</f>
        <v>0</v>
      </c>
      <c r="I201">
        <f>装備閲覧!N201</f>
        <v>0</v>
      </c>
      <c r="J201">
        <f>装備閲覧!O201</f>
        <v>1</v>
      </c>
      <c r="K201">
        <f>装備閲覧!P201</f>
        <v>0</v>
      </c>
      <c r="L201">
        <f>装備閲覧!R201</f>
        <v>0</v>
      </c>
      <c r="M201">
        <f>装備閲覧!S201</f>
        <v>11</v>
      </c>
      <c r="N201" t="str">
        <f>装備閲覧!T201</f>
        <v>長</v>
      </c>
      <c r="O201">
        <f>装備閲覧!AA201</f>
        <v>2</v>
      </c>
      <c r="P201" s="1" t="str">
        <f>IFERROR(IFERROR(VLOOKUP(C201,改修!A:B,2,0),_xlfn.NUMBERVALUE(VLOOKUP(C201,特殊改修値!C:D,2,0))),"×")</f>
        <v>×</v>
      </c>
      <c r="Q201" t="str">
        <f>IFERROR(VLOOKUP(C201,装備ボーナス!B:C,2,0),"×")</f>
        <v>×</v>
      </c>
      <c r="R201" t="str">
        <f>VLOOKUP(A201,wikiName!A:B,2,0)</f>
        <v>橘花改</v>
      </c>
    </row>
    <row r="202" spans="1:18" x14ac:dyDescent="0.4">
      <c r="A202">
        <f>装備閲覧!B202</f>
        <v>201</v>
      </c>
      <c r="B202" t="str">
        <f>装備閲覧!C202</f>
        <v>局地戦闘機</v>
      </c>
      <c r="C202" t="str">
        <f>装備閲覧!D202</f>
        <v>紫電一一型</v>
      </c>
      <c r="D202">
        <f>装備閲覧!H202</f>
        <v>38</v>
      </c>
      <c r="E202">
        <f>装備閲覧!J202</f>
        <v>0</v>
      </c>
      <c r="F202">
        <f>装備閲覧!K202</f>
        <v>0</v>
      </c>
      <c r="G202">
        <f>装備閲覧!L202</f>
        <v>8</v>
      </c>
      <c r="H202">
        <f>装備閲覧!M202</f>
        <v>1</v>
      </c>
      <c r="I202">
        <f>装備閲覧!N202</f>
        <v>0</v>
      </c>
      <c r="J202">
        <f>装備閲覧!O202</f>
        <v>1</v>
      </c>
      <c r="K202">
        <f>装備閲覧!P202</f>
        <v>0</v>
      </c>
      <c r="L202">
        <f>装備閲覧!R202</f>
        <v>1</v>
      </c>
      <c r="M202">
        <f>装備閲覧!S202</f>
        <v>0</v>
      </c>
      <c r="N202" t="str">
        <f>装備閲覧!T202</f>
        <v>無</v>
      </c>
      <c r="O202">
        <f>装備閲覧!AA202</f>
        <v>3</v>
      </c>
      <c r="P202" s="1" t="str">
        <f>IFERROR(IFERROR(VLOOKUP(C202,改修!A:B,2,0),_xlfn.NUMBERVALUE(VLOOKUP(C202,特殊改修値!C:D,2,0))),"×")</f>
        <v>〇</v>
      </c>
      <c r="Q202" t="str">
        <f>IFERROR(VLOOKUP(C202,装備ボーナス!B:C,2,0),"×")</f>
        <v>×</v>
      </c>
      <c r="R202" t="str">
        <f>VLOOKUP(A202,wikiName!A:B,2,0)</f>
        <v>紫電一一型</v>
      </c>
    </row>
    <row r="203" spans="1:18" x14ac:dyDescent="0.4">
      <c r="A203">
        <f>装備閲覧!B203</f>
        <v>202</v>
      </c>
      <c r="B203" t="str">
        <f>装備閲覧!C203</f>
        <v>局地戦闘機</v>
      </c>
      <c r="C203" t="str">
        <f>装備閲覧!D203</f>
        <v>紫電二一型 紫電改</v>
      </c>
      <c r="D203">
        <f>装備閲覧!H203</f>
        <v>38</v>
      </c>
      <c r="E203">
        <f>装備閲覧!J203</f>
        <v>0</v>
      </c>
      <c r="F203">
        <f>装備閲覧!K203</f>
        <v>0</v>
      </c>
      <c r="G203">
        <f>装備閲覧!L203</f>
        <v>9</v>
      </c>
      <c r="H203">
        <f>装備閲覧!M203</f>
        <v>2</v>
      </c>
      <c r="I203">
        <f>装備閲覧!N203</f>
        <v>0</v>
      </c>
      <c r="J203">
        <f>装備閲覧!O203</f>
        <v>3</v>
      </c>
      <c r="K203">
        <f>装備閲覧!P203</f>
        <v>0</v>
      </c>
      <c r="L203">
        <f>装備閲覧!R203</f>
        <v>1</v>
      </c>
      <c r="M203">
        <f>装備閲覧!S203</f>
        <v>0</v>
      </c>
      <c r="N203" t="str">
        <f>装備閲覧!T203</f>
        <v>無</v>
      </c>
      <c r="O203">
        <f>装備閲覧!AA203</f>
        <v>4</v>
      </c>
      <c r="P203" s="1" t="str">
        <f>IFERROR(IFERROR(VLOOKUP(C203,改修!A:B,2,0),_xlfn.NUMBERVALUE(VLOOKUP(C203,特殊改修値!C:D,2,0))),"×")</f>
        <v>×</v>
      </c>
      <c r="Q203" t="str">
        <f>IFERROR(VLOOKUP(C203,装備ボーナス!B:C,2,0),"×")</f>
        <v>×</v>
      </c>
      <c r="R203" t="str">
        <f>VLOOKUP(A203,wikiName!A:B,2,0)</f>
        <v>紫電二一型 紫電改</v>
      </c>
    </row>
    <row r="204" spans="1:18" x14ac:dyDescent="0.4">
      <c r="A204">
        <f>装備閲覧!B204</f>
        <v>203</v>
      </c>
      <c r="B204" t="str">
        <f>装備閲覧!C204</f>
        <v>追加装甲(中型)</v>
      </c>
      <c r="C204" t="str">
        <f>装備閲覧!D204</f>
        <v>艦本新設計 増設バルジ(中型艦)</v>
      </c>
      <c r="D204">
        <f>装備閲覧!H204</f>
        <v>23</v>
      </c>
      <c r="E204">
        <f>装備閲覧!J204</f>
        <v>0</v>
      </c>
      <c r="F204">
        <f>装備閲覧!K204</f>
        <v>0</v>
      </c>
      <c r="G204">
        <f>装備閲覧!L204</f>
        <v>0</v>
      </c>
      <c r="H204">
        <f>装備閲覧!M204</f>
        <v>8</v>
      </c>
      <c r="I204">
        <f>装備閲覧!N204</f>
        <v>0</v>
      </c>
      <c r="J204">
        <f>装備閲覧!O204</f>
        <v>-1</v>
      </c>
      <c r="K204">
        <f>装備閲覧!P204</f>
        <v>0</v>
      </c>
      <c r="L204">
        <f>装備閲覧!R204</f>
        <v>0</v>
      </c>
      <c r="M204">
        <f>装備閲覧!S204</f>
        <v>0</v>
      </c>
      <c r="N204" t="str">
        <f>装備閲覧!T204</f>
        <v>無</v>
      </c>
      <c r="O204">
        <f>装備閲覧!AA204</f>
        <v>0</v>
      </c>
      <c r="P204" s="1" t="str">
        <f>IFERROR(IFERROR(VLOOKUP(C204,改修!A:B,2,0),_xlfn.NUMBERVALUE(VLOOKUP(C204,特殊改修値!C:D,2,0))),"×")</f>
        <v>〇</v>
      </c>
      <c r="Q204" t="str">
        <f>IFERROR(VLOOKUP(C204,装備ボーナス!B:C,2,0),"×")</f>
        <v>×</v>
      </c>
      <c r="R204" t="str">
        <f>VLOOKUP(A204,wikiName!A:B,2,0)</f>
        <v>艦本新設計 増設バルジ(中型艦)</v>
      </c>
    </row>
    <row r="205" spans="1:18" x14ac:dyDescent="0.4">
      <c r="A205">
        <f>装備閲覧!B205</f>
        <v>204</v>
      </c>
      <c r="B205" t="str">
        <f>装備閲覧!C205</f>
        <v>追加装甲(大型)</v>
      </c>
      <c r="C205" t="str">
        <f>装備閲覧!D205</f>
        <v>艦本新設計 増設バルジ(大型艦)</v>
      </c>
      <c r="D205">
        <f>装備閲覧!H205</f>
        <v>23</v>
      </c>
      <c r="E205">
        <f>装備閲覧!J205</f>
        <v>0</v>
      </c>
      <c r="F205">
        <f>装備閲覧!K205</f>
        <v>0</v>
      </c>
      <c r="G205">
        <f>装備閲覧!L205</f>
        <v>0</v>
      </c>
      <c r="H205">
        <f>装備閲覧!M205</f>
        <v>10</v>
      </c>
      <c r="I205">
        <f>装備閲覧!N205</f>
        <v>0</v>
      </c>
      <c r="J205">
        <f>装備閲覧!O205</f>
        <v>-2</v>
      </c>
      <c r="K205">
        <f>装備閲覧!P205</f>
        <v>0</v>
      </c>
      <c r="L205">
        <f>装備閲覧!R205</f>
        <v>0</v>
      </c>
      <c r="M205">
        <f>装備閲覧!S205</f>
        <v>0</v>
      </c>
      <c r="N205" t="str">
        <f>装備閲覧!T205</f>
        <v>無</v>
      </c>
      <c r="O205">
        <f>装備閲覧!AA205</f>
        <v>0</v>
      </c>
      <c r="P205" s="1" t="str">
        <f>IFERROR(IFERROR(VLOOKUP(C205,改修!A:B,2,0),_xlfn.NUMBERVALUE(VLOOKUP(C205,特殊改修値!C:D,2,0))),"×")</f>
        <v>〇</v>
      </c>
      <c r="Q205" t="str">
        <f>IFERROR(VLOOKUP(C205,装備ボーナス!B:C,2,0),"×")</f>
        <v>〇</v>
      </c>
      <c r="R205" t="str">
        <f>VLOOKUP(A205,wikiName!A:B,2,0)</f>
        <v>艦本新設計 増設バルジ(大型艦)</v>
      </c>
    </row>
    <row r="206" spans="1:18" x14ac:dyDescent="0.4">
      <c r="A206">
        <f>装備閲覧!B206</f>
        <v>205</v>
      </c>
      <c r="B206" t="str">
        <f>装備閲覧!C206</f>
        <v>艦上戦闘機</v>
      </c>
      <c r="C206" t="str">
        <f>装備閲覧!D206</f>
        <v>F6F-3</v>
      </c>
      <c r="D206">
        <f>装備閲覧!H206</f>
        <v>6</v>
      </c>
      <c r="E206">
        <f>装備閲覧!J206</f>
        <v>1</v>
      </c>
      <c r="F206">
        <f>装備閲覧!K206</f>
        <v>0</v>
      </c>
      <c r="G206">
        <f>装備閲覧!L206</f>
        <v>8</v>
      </c>
      <c r="H206">
        <f>装備閲覧!M206</f>
        <v>0</v>
      </c>
      <c r="I206">
        <f>装備閲覧!N206</f>
        <v>0</v>
      </c>
      <c r="J206">
        <f>装備閲覧!O206</f>
        <v>2</v>
      </c>
      <c r="K206">
        <f>装備閲覧!P206</f>
        <v>1</v>
      </c>
      <c r="L206">
        <f>装備閲覧!R206</f>
        <v>1</v>
      </c>
      <c r="M206">
        <f>装備閲覧!S206</f>
        <v>0</v>
      </c>
      <c r="N206" t="str">
        <f>装備閲覧!T206</f>
        <v>無</v>
      </c>
      <c r="O206">
        <f>装備閲覧!AA206</f>
        <v>5</v>
      </c>
      <c r="P206" s="1" t="str">
        <f>IFERROR(IFERROR(VLOOKUP(C206,改修!A:B,2,0),_xlfn.NUMBERVALUE(VLOOKUP(C206,特殊改修値!C:D,2,0))),"×")</f>
        <v>〇</v>
      </c>
      <c r="Q206" t="str">
        <f>IFERROR(VLOOKUP(C206,装備ボーナス!B:C,2,0),"×")</f>
        <v>×</v>
      </c>
      <c r="R206" t="str">
        <f>VLOOKUP(A206,wikiName!A:B,2,0)</f>
        <v>F6F-3</v>
      </c>
    </row>
    <row r="207" spans="1:18" x14ac:dyDescent="0.4">
      <c r="A207">
        <f>装備閲覧!B207</f>
        <v>206</v>
      </c>
      <c r="B207" t="str">
        <f>装備閲覧!C207</f>
        <v>艦上戦闘機</v>
      </c>
      <c r="C207" t="str">
        <f>装備閲覧!D207</f>
        <v>F6F-5</v>
      </c>
      <c r="D207">
        <f>装備閲覧!H207</f>
        <v>6</v>
      </c>
      <c r="E207">
        <f>装備閲覧!J207</f>
        <v>1</v>
      </c>
      <c r="F207">
        <f>装備閲覧!K207</f>
        <v>0</v>
      </c>
      <c r="G207">
        <f>装備閲覧!L207</f>
        <v>10</v>
      </c>
      <c r="H207">
        <f>装備閲覧!M207</f>
        <v>0</v>
      </c>
      <c r="I207">
        <f>装備閲覧!N207</f>
        <v>0</v>
      </c>
      <c r="J207">
        <f>装備閲覧!O207</f>
        <v>3</v>
      </c>
      <c r="K207">
        <f>装備閲覧!P207</f>
        <v>1</v>
      </c>
      <c r="L207">
        <f>装備閲覧!R207</f>
        <v>1</v>
      </c>
      <c r="M207">
        <f>装備閲覧!S207</f>
        <v>0</v>
      </c>
      <c r="N207" t="str">
        <f>装備閲覧!T207</f>
        <v>無</v>
      </c>
      <c r="O207">
        <f>装備閲覧!AA207</f>
        <v>5</v>
      </c>
      <c r="P207" s="1" t="str">
        <f>IFERROR(IFERROR(VLOOKUP(C207,改修!A:B,2,0),_xlfn.NUMBERVALUE(VLOOKUP(C207,特殊改修値!C:D,2,0))),"×")</f>
        <v>〇</v>
      </c>
      <c r="Q207" t="str">
        <f>IFERROR(VLOOKUP(C207,装備ボーナス!B:C,2,0),"×")</f>
        <v>×</v>
      </c>
      <c r="R207" t="str">
        <f>VLOOKUP(A207,wikiName!A:B,2,0)</f>
        <v>F6F-5</v>
      </c>
    </row>
    <row r="208" spans="1:18" x14ac:dyDescent="0.4">
      <c r="A208">
        <f>装備閲覧!B208</f>
        <v>207</v>
      </c>
      <c r="B208" t="str">
        <f>装備閲覧!C208</f>
        <v>水上爆撃機</v>
      </c>
      <c r="C208" t="str">
        <f>装備閲覧!D208</f>
        <v>瑞雲(六三一空)</v>
      </c>
      <c r="D208">
        <f>装備閲覧!H208</f>
        <v>10</v>
      </c>
      <c r="E208">
        <f>装備閲覧!J208</f>
        <v>0</v>
      </c>
      <c r="F208">
        <f>装備閲覧!K208</f>
        <v>0</v>
      </c>
      <c r="G208">
        <f>装備閲覧!L208</f>
        <v>1</v>
      </c>
      <c r="H208">
        <f>装備閲覧!M208</f>
        <v>0</v>
      </c>
      <c r="I208">
        <f>装備閲覧!N208</f>
        <v>2</v>
      </c>
      <c r="J208">
        <f>装備閲覧!O208</f>
        <v>0</v>
      </c>
      <c r="K208">
        <f>装備閲覧!P208</f>
        <v>4</v>
      </c>
      <c r="L208">
        <f>装備閲覧!R208</f>
        <v>2</v>
      </c>
      <c r="M208">
        <f>装備閲覧!S208</f>
        <v>7</v>
      </c>
      <c r="N208" t="str">
        <f>装備閲覧!T208</f>
        <v>無</v>
      </c>
      <c r="O208">
        <f>装備閲覧!AA208</f>
        <v>5</v>
      </c>
      <c r="P208" s="1">
        <f>IFERROR(IFERROR(VLOOKUP(C208,改修!A:B,2,0),_xlfn.NUMBERVALUE(VLOOKUP(C208,特殊改修値!C:D,2,0))),"×")</f>
        <v>4</v>
      </c>
      <c r="Q208" t="str">
        <f>IFERROR(VLOOKUP(C208,装備ボーナス!B:C,2,0),"×")</f>
        <v>×</v>
      </c>
      <c r="R208" t="str">
        <f>VLOOKUP(A208,wikiName!A:B,2,0)</f>
        <v>瑞雲(六三一空)</v>
      </c>
    </row>
    <row r="209" spans="1:18" x14ac:dyDescent="0.4">
      <c r="A209">
        <f>装備閲覧!B209</f>
        <v>208</v>
      </c>
      <c r="B209" t="str">
        <f>装備閲覧!C209</f>
        <v>水上爆撃機</v>
      </c>
      <c r="C209" t="str">
        <f>装備閲覧!D209</f>
        <v>晴嵐(六三一空)</v>
      </c>
      <c r="D209">
        <f>装備閲覧!H209</f>
        <v>10</v>
      </c>
      <c r="E209">
        <f>装備閲覧!J209</f>
        <v>0</v>
      </c>
      <c r="F209">
        <f>装備閲覧!K209</f>
        <v>0</v>
      </c>
      <c r="G209">
        <f>装備閲覧!L209</f>
        <v>0</v>
      </c>
      <c r="H209">
        <f>装備閲覧!M209</f>
        <v>0</v>
      </c>
      <c r="I209">
        <f>装備閲覧!N209</f>
        <v>3</v>
      </c>
      <c r="J209">
        <f>装備閲覧!O209</f>
        <v>0</v>
      </c>
      <c r="K209">
        <f>装備閲覧!P209</f>
        <v>6</v>
      </c>
      <c r="L209">
        <f>装備閲覧!R209</f>
        <v>2</v>
      </c>
      <c r="M209">
        <f>装備閲覧!S209</f>
        <v>12</v>
      </c>
      <c r="N209" t="str">
        <f>装備閲覧!T209</f>
        <v>無</v>
      </c>
      <c r="O209">
        <f>装備閲覧!AA209</f>
        <v>4</v>
      </c>
      <c r="P209" s="1" t="str">
        <f>IFERROR(IFERROR(VLOOKUP(C209,改修!A:B,2,0),_xlfn.NUMBERVALUE(VLOOKUP(C209,特殊改修値!C:D,2,0))),"×")</f>
        <v>×</v>
      </c>
      <c r="Q209" t="str">
        <f>IFERROR(VLOOKUP(C209,装備ボーナス!B:C,2,0),"×")</f>
        <v>×</v>
      </c>
      <c r="R209" t="str">
        <f>VLOOKUP(A209,wikiName!A:B,2,0)</f>
        <v>晴嵐(六三一空)</v>
      </c>
    </row>
    <row r="210" spans="1:18" x14ac:dyDescent="0.4">
      <c r="A210">
        <f>装備閲覧!B210</f>
        <v>209</v>
      </c>
      <c r="B210" t="str">
        <f>装備閲覧!C210</f>
        <v>輸送機材</v>
      </c>
      <c r="C210" t="str">
        <f>装備閲覧!D210</f>
        <v>彩雲(輸送用分解済)</v>
      </c>
      <c r="D210">
        <f>装備閲覧!H210</f>
        <v>41</v>
      </c>
      <c r="E210">
        <f>装備閲覧!J210</f>
        <v>0</v>
      </c>
      <c r="F210">
        <f>装備閲覧!K210</f>
        <v>0</v>
      </c>
      <c r="G210">
        <f>装備閲覧!L210</f>
        <v>0</v>
      </c>
      <c r="H210">
        <f>装備閲覧!M210</f>
        <v>0</v>
      </c>
      <c r="I210">
        <f>装備閲覧!N210</f>
        <v>0</v>
      </c>
      <c r="J210">
        <f>装備閲覧!O210</f>
        <v>0</v>
      </c>
      <c r="K210">
        <f>装備閲覧!P210</f>
        <v>0</v>
      </c>
      <c r="L210">
        <f>装備閲覧!R210</f>
        <v>0</v>
      </c>
      <c r="M210">
        <f>装備閲覧!S210</f>
        <v>0</v>
      </c>
      <c r="N210" t="str">
        <f>装備閲覧!T210</f>
        <v>無</v>
      </c>
      <c r="O210">
        <f>装備閲覧!AA210</f>
        <v>0</v>
      </c>
      <c r="P210" s="1" t="str">
        <f>IFERROR(IFERROR(VLOOKUP(C210,改修!A:B,2,0),_xlfn.NUMBERVALUE(VLOOKUP(C210,特殊改修値!C:D,2,0))),"×")</f>
        <v>×</v>
      </c>
      <c r="Q210" t="str">
        <f>IFERROR(VLOOKUP(C210,装備ボーナス!B:C,2,0),"×")</f>
        <v>×</v>
      </c>
      <c r="R210" t="str">
        <f>VLOOKUP(A210,wikiName!A:B,2,0)</f>
        <v>彩雲(輸送用分解済)</v>
      </c>
    </row>
    <row r="211" spans="1:18" x14ac:dyDescent="0.4">
      <c r="A211">
        <f>装備閲覧!B211</f>
        <v>210</v>
      </c>
      <c r="B211" t="str">
        <f>装備閲覧!C211</f>
        <v>潜水艦装備</v>
      </c>
      <c r="C211" t="str">
        <f>装備閲覧!D211</f>
        <v>潜水艦搭載電探&amp;水防式望遠鏡</v>
      </c>
      <c r="D211">
        <f>装備閲覧!H211</f>
        <v>42</v>
      </c>
      <c r="E211">
        <f>装備閲覧!J211</f>
        <v>1</v>
      </c>
      <c r="F211">
        <f>装備閲覧!K211</f>
        <v>0</v>
      </c>
      <c r="G211">
        <f>装備閲覧!L211</f>
        <v>1</v>
      </c>
      <c r="H211">
        <f>装備閲覧!M211</f>
        <v>0</v>
      </c>
      <c r="I211">
        <f>装備閲覧!N211</f>
        <v>0</v>
      </c>
      <c r="J211">
        <f>装備閲覧!O211</f>
        <v>8</v>
      </c>
      <c r="K211">
        <f>装備閲覧!P211</f>
        <v>4</v>
      </c>
      <c r="L211">
        <f>装備閲覧!R211</f>
        <v>2</v>
      </c>
      <c r="M211">
        <f>装備閲覧!S211</f>
        <v>0</v>
      </c>
      <c r="N211" t="str">
        <f>装備閲覧!T211</f>
        <v>無</v>
      </c>
      <c r="O211">
        <f>装備閲覧!AA211</f>
        <v>0</v>
      </c>
      <c r="P211" s="1" t="str">
        <f>IFERROR(IFERROR(VLOOKUP(C211,改修!A:B,2,0),_xlfn.NUMBERVALUE(VLOOKUP(C211,特殊改修値!C:D,2,0))),"×")</f>
        <v>〇</v>
      </c>
      <c r="Q211" t="str">
        <f>IFERROR(VLOOKUP(C211,装備ボーナス!B:C,2,0),"×")</f>
        <v>×</v>
      </c>
      <c r="R211" t="str">
        <f>VLOOKUP(A211,wikiName!A:B,2,0)</f>
        <v>潜水艦搭載電探＆水防式望遠鏡</v>
      </c>
    </row>
    <row r="212" spans="1:18" x14ac:dyDescent="0.4">
      <c r="A212">
        <f>装備閲覧!B212</f>
        <v>211</v>
      </c>
      <c r="B212" t="str">
        <f>装備閲覧!C212</f>
        <v>潜水艦装備</v>
      </c>
      <c r="C212" t="str">
        <f>装備閲覧!D212</f>
        <v>潜水艦搭載電探&amp;逆探(E27)</v>
      </c>
      <c r="D212">
        <f>装備閲覧!H212</f>
        <v>42</v>
      </c>
      <c r="E212">
        <f>装備閲覧!J212</f>
        <v>1</v>
      </c>
      <c r="F212">
        <f>装備閲覧!K212</f>
        <v>0</v>
      </c>
      <c r="G212">
        <f>装備閲覧!L212</f>
        <v>1</v>
      </c>
      <c r="H212">
        <f>装備閲覧!M212</f>
        <v>0</v>
      </c>
      <c r="I212">
        <f>装備閲覧!N212</f>
        <v>0</v>
      </c>
      <c r="J212">
        <f>装備閲覧!O212</f>
        <v>11</v>
      </c>
      <c r="K212">
        <f>装備閲覧!P212</f>
        <v>5</v>
      </c>
      <c r="L212">
        <f>装備閲覧!R212</f>
        <v>3</v>
      </c>
      <c r="M212">
        <f>装備閲覧!S212</f>
        <v>0</v>
      </c>
      <c r="N212" t="str">
        <f>装備閲覧!T212</f>
        <v>無</v>
      </c>
      <c r="O212">
        <f>装備閲覧!AA212</f>
        <v>0</v>
      </c>
      <c r="P212" s="1" t="str">
        <f>IFERROR(IFERROR(VLOOKUP(C212,改修!A:B,2,0),_xlfn.NUMBERVALUE(VLOOKUP(C212,特殊改修値!C:D,2,0))),"×")</f>
        <v>×</v>
      </c>
      <c r="Q212" t="str">
        <f>IFERROR(VLOOKUP(C212,装備ボーナス!B:C,2,0),"×")</f>
        <v>×</v>
      </c>
      <c r="R212" t="str">
        <f>VLOOKUP(A212,wikiName!A:B,2,0)</f>
        <v>潜水艦搭載電探＆逆探(E27)</v>
      </c>
    </row>
    <row r="213" spans="1:18" x14ac:dyDescent="0.4">
      <c r="A213">
        <f>装備閲覧!B213</f>
        <v>212</v>
      </c>
      <c r="B213" t="str">
        <f>装備閲覧!C213</f>
        <v>艦上偵察機</v>
      </c>
      <c r="C213" t="str">
        <f>装備閲覧!D213</f>
        <v>彩雲(東カロリン空)</v>
      </c>
      <c r="D213">
        <f>装備閲覧!H213</f>
        <v>9</v>
      </c>
      <c r="E213">
        <f>装備閲覧!J213</f>
        <v>1</v>
      </c>
      <c r="F213">
        <f>装備閲覧!K213</f>
        <v>0</v>
      </c>
      <c r="G213">
        <f>装備閲覧!L213</f>
        <v>0</v>
      </c>
      <c r="H213">
        <f>装備閲覧!M213</f>
        <v>0</v>
      </c>
      <c r="I213">
        <f>装備閲覧!N213</f>
        <v>0</v>
      </c>
      <c r="J213">
        <f>装備閲覧!O213</f>
        <v>0</v>
      </c>
      <c r="K213">
        <f>装備閲覧!P213</f>
        <v>10</v>
      </c>
      <c r="L213">
        <f>装備閲覧!R213</f>
        <v>2</v>
      </c>
      <c r="M213">
        <f>装備閲覧!S213</f>
        <v>0</v>
      </c>
      <c r="N213" t="str">
        <f>装備閲覧!T213</f>
        <v>無</v>
      </c>
      <c r="O213">
        <f>装備閲覧!AA213</f>
        <v>8</v>
      </c>
      <c r="P213" s="1" t="str">
        <f>IFERROR(IFERROR(VLOOKUP(C213,改修!A:B,2,0),_xlfn.NUMBERVALUE(VLOOKUP(C213,特殊改修値!C:D,2,0))),"×")</f>
        <v>×</v>
      </c>
      <c r="Q213" t="str">
        <f>IFERROR(VLOOKUP(C213,装備ボーナス!B:C,2,0),"×")</f>
        <v>×</v>
      </c>
      <c r="R213" t="str">
        <f>VLOOKUP(A213,wikiName!A:B,2,0)</f>
        <v>彩雲(東カロリン空)</v>
      </c>
    </row>
    <row r="214" spans="1:18" x14ac:dyDescent="0.4">
      <c r="A214">
        <f>装備閲覧!B214</f>
        <v>213</v>
      </c>
      <c r="B214" t="str">
        <f>装備閲覧!C214</f>
        <v>潜水艦魚雷</v>
      </c>
      <c r="C214" t="str">
        <f>装備閲覧!D214</f>
        <v>後期型艦首魚雷(6門)</v>
      </c>
      <c r="D214">
        <f>装備閲覧!H214</f>
        <v>5</v>
      </c>
      <c r="E214">
        <f>装備閲覧!J214</f>
        <v>0</v>
      </c>
      <c r="F214">
        <f>装備閲覧!K214</f>
        <v>15</v>
      </c>
      <c r="G214">
        <f>装備閲覧!L214</f>
        <v>0</v>
      </c>
      <c r="H214">
        <f>装備閲覧!M214</f>
        <v>0</v>
      </c>
      <c r="I214">
        <f>装備閲覧!N214</f>
        <v>0</v>
      </c>
      <c r="J214">
        <f>装備閲覧!O214</f>
        <v>1</v>
      </c>
      <c r="K214">
        <f>装備閲覧!P214</f>
        <v>0</v>
      </c>
      <c r="L214">
        <f>装備閲覧!R214</f>
        <v>3</v>
      </c>
      <c r="M214">
        <f>装備閲覧!S214</f>
        <v>0</v>
      </c>
      <c r="N214" t="str">
        <f>装備閲覧!T214</f>
        <v>短</v>
      </c>
      <c r="O214">
        <f>装備閲覧!AA214</f>
        <v>0</v>
      </c>
      <c r="P214" s="1" t="str">
        <f>IFERROR(IFERROR(VLOOKUP(C214,改修!A:B,2,0),_xlfn.NUMBERVALUE(VLOOKUP(C214,特殊改修値!C:D,2,0))),"×")</f>
        <v>×</v>
      </c>
      <c r="Q214" t="str">
        <f>IFERROR(VLOOKUP(C214,装備ボーナス!B:C,2,0),"×")</f>
        <v>×</v>
      </c>
      <c r="R214" t="str">
        <f>VLOOKUP(A214,wikiName!A:B,2,0)</f>
        <v>後期型艦首魚雷(6門)</v>
      </c>
    </row>
    <row r="215" spans="1:18" x14ac:dyDescent="0.4">
      <c r="A215">
        <f>装備閲覧!B215</f>
        <v>214</v>
      </c>
      <c r="B215" t="str">
        <f>装備閲覧!C215</f>
        <v>潜水艦魚雷</v>
      </c>
      <c r="C215" t="str">
        <f>装備閲覧!D215</f>
        <v>熟練聴音員+後期型艦首魚雷(6門)</v>
      </c>
      <c r="D215">
        <f>装備閲覧!H215</f>
        <v>5</v>
      </c>
      <c r="E215">
        <f>装備閲覧!J215</f>
        <v>0</v>
      </c>
      <c r="F215">
        <f>装備閲覧!K215</f>
        <v>15</v>
      </c>
      <c r="G215">
        <f>装備閲覧!L215</f>
        <v>0</v>
      </c>
      <c r="H215">
        <f>装備閲覧!M215</f>
        <v>0</v>
      </c>
      <c r="I215">
        <f>装備閲覧!N215</f>
        <v>0</v>
      </c>
      <c r="J215">
        <f>装備閲覧!O215</f>
        <v>4</v>
      </c>
      <c r="K215">
        <f>装備閲覧!P215</f>
        <v>1</v>
      </c>
      <c r="L215">
        <f>装備閲覧!R215</f>
        <v>5</v>
      </c>
      <c r="M215">
        <f>装備閲覧!S215</f>
        <v>0</v>
      </c>
      <c r="N215" t="str">
        <f>装備閲覧!T215</f>
        <v>短</v>
      </c>
      <c r="O215">
        <f>装備閲覧!AA215</f>
        <v>0</v>
      </c>
      <c r="P215" s="1" t="str">
        <f>IFERROR(IFERROR(VLOOKUP(C215,改修!A:B,2,0),_xlfn.NUMBERVALUE(VLOOKUP(C215,特殊改修値!C:D,2,0))),"×")</f>
        <v>×</v>
      </c>
      <c r="Q215" t="str">
        <f>IFERROR(VLOOKUP(C215,装備ボーナス!B:C,2,0),"×")</f>
        <v>×</v>
      </c>
      <c r="R215" t="str">
        <f>VLOOKUP(A215,wikiName!A:B,2,0)</f>
        <v>熟練聴音員＋後期型艦首魚雷(6門)</v>
      </c>
    </row>
    <row r="216" spans="1:18" x14ac:dyDescent="0.4">
      <c r="A216">
        <f>装備閲覧!B216</f>
        <v>215</v>
      </c>
      <c r="B216" t="str">
        <f>装備閲覧!C216</f>
        <v>水上戦闘機</v>
      </c>
      <c r="C216" t="str">
        <f>装備閲覧!D216</f>
        <v>Ro.44水上戦闘機bis</v>
      </c>
      <c r="D216">
        <f>装備閲覧!H216</f>
        <v>43</v>
      </c>
      <c r="E216">
        <f>装備閲覧!J216</f>
        <v>0</v>
      </c>
      <c r="F216">
        <f>装備閲覧!K216</f>
        <v>0</v>
      </c>
      <c r="G216">
        <f>装備閲覧!L216</f>
        <v>3</v>
      </c>
      <c r="H216">
        <f>装備閲覧!M216</f>
        <v>0</v>
      </c>
      <c r="I216">
        <f>装備閲覧!N216</f>
        <v>1</v>
      </c>
      <c r="J216">
        <f>装備閲覧!O216</f>
        <v>2</v>
      </c>
      <c r="K216">
        <f>装備閲覧!P216</f>
        <v>3</v>
      </c>
      <c r="L216">
        <f>装備閲覧!R216</f>
        <v>2</v>
      </c>
      <c r="M216">
        <f>装備閲覧!S216</f>
        <v>0</v>
      </c>
      <c r="N216" t="str">
        <f>装備閲覧!T216</f>
        <v>無</v>
      </c>
      <c r="O216">
        <f>装備閲覧!AA216</f>
        <v>3</v>
      </c>
      <c r="P216" s="1" t="str">
        <f>IFERROR(IFERROR(VLOOKUP(C216,改修!A:B,2,0),_xlfn.NUMBERVALUE(VLOOKUP(C216,特殊改修値!C:D,2,0))),"×")</f>
        <v>〇</v>
      </c>
      <c r="Q216" t="str">
        <f>IFERROR(VLOOKUP(C216,装備ボーナス!B:C,2,0),"×")</f>
        <v>×</v>
      </c>
      <c r="R216" t="str">
        <f>VLOOKUP(A216,wikiName!A:B,2,0)</f>
        <v>Ro.44水上戦闘機bis</v>
      </c>
    </row>
    <row r="217" spans="1:18" x14ac:dyDescent="0.4">
      <c r="A217">
        <f>装備閲覧!B217</f>
        <v>216</v>
      </c>
      <c r="B217" t="str">
        <f>装備閲覧!C217</f>
        <v>水上戦闘機</v>
      </c>
      <c r="C217" t="str">
        <f>装備閲覧!D217</f>
        <v>二式水戦改(熟練)</v>
      </c>
      <c r="D217">
        <f>装備閲覧!H217</f>
        <v>43</v>
      </c>
      <c r="E217">
        <f>装備閲覧!J217</f>
        <v>0</v>
      </c>
      <c r="F217">
        <f>装備閲覧!K217</f>
        <v>0</v>
      </c>
      <c r="G217">
        <f>装備閲覧!L217</f>
        <v>5</v>
      </c>
      <c r="H217">
        <f>装備閲覧!M217</f>
        <v>0</v>
      </c>
      <c r="I217">
        <f>装備閲覧!N217</f>
        <v>1</v>
      </c>
      <c r="J217">
        <f>装備閲覧!O217</f>
        <v>2</v>
      </c>
      <c r="K217">
        <f>装備閲覧!P217</f>
        <v>1</v>
      </c>
      <c r="L217">
        <f>装備閲覧!R217</f>
        <v>1</v>
      </c>
      <c r="M217">
        <f>装備閲覧!S217</f>
        <v>0</v>
      </c>
      <c r="N217" t="str">
        <f>装備閲覧!T217</f>
        <v>無</v>
      </c>
      <c r="O217">
        <f>装備閲覧!AA217</f>
        <v>4</v>
      </c>
      <c r="P217" s="1" t="str">
        <f>IFERROR(IFERROR(VLOOKUP(C217,改修!A:B,2,0),_xlfn.NUMBERVALUE(VLOOKUP(C217,特殊改修値!C:D,2,0))),"×")</f>
        <v>〇</v>
      </c>
      <c r="Q217" t="str">
        <f>IFERROR(VLOOKUP(C217,装備ボーナス!B:C,2,0),"×")</f>
        <v>×</v>
      </c>
      <c r="R217" t="str">
        <f>VLOOKUP(A217,wikiName!A:B,2,0)</f>
        <v>二式水戦改(熟練)</v>
      </c>
    </row>
    <row r="218" spans="1:18" x14ac:dyDescent="0.4">
      <c r="A218">
        <f>装備閲覧!B218</f>
        <v>217</v>
      </c>
      <c r="B218" t="str">
        <f>装備閲覧!C218</f>
        <v>水上戦闘機</v>
      </c>
      <c r="C218" t="str">
        <f>装備閲覧!D218</f>
        <v>強風改</v>
      </c>
      <c r="D218">
        <f>装備閲覧!H218</f>
        <v>43</v>
      </c>
      <c r="E218">
        <f>装備閲覧!J218</f>
        <v>0</v>
      </c>
      <c r="F218">
        <f>装備閲覧!K218</f>
        <v>0</v>
      </c>
      <c r="G218">
        <f>装備閲覧!L218</f>
        <v>5</v>
      </c>
      <c r="H218">
        <f>装備閲覧!M218</f>
        <v>0</v>
      </c>
      <c r="I218">
        <f>装備閲覧!N218</f>
        <v>0</v>
      </c>
      <c r="J218">
        <f>装備閲覧!O218</f>
        <v>3</v>
      </c>
      <c r="K218">
        <f>装備閲覧!P218</f>
        <v>1</v>
      </c>
      <c r="L218">
        <f>装備閲覧!R218</f>
        <v>0</v>
      </c>
      <c r="M218">
        <f>装備閲覧!S218</f>
        <v>0</v>
      </c>
      <c r="N218" t="str">
        <f>装備閲覧!T218</f>
        <v>無</v>
      </c>
      <c r="O218">
        <f>装備閲覧!AA218</f>
        <v>3</v>
      </c>
      <c r="P218" s="1" t="str">
        <f>IFERROR(IFERROR(VLOOKUP(C218,改修!A:B,2,0),_xlfn.NUMBERVALUE(VLOOKUP(C218,特殊改修値!C:D,2,0))),"×")</f>
        <v>〇</v>
      </c>
      <c r="Q218" t="str">
        <f>IFERROR(VLOOKUP(C218,装備ボーナス!B:C,2,0),"×")</f>
        <v>×</v>
      </c>
      <c r="R218" t="str">
        <f>VLOOKUP(A218,wikiName!A:B,2,0)</f>
        <v>強風改</v>
      </c>
    </row>
    <row r="219" spans="1:18" x14ac:dyDescent="0.4">
      <c r="A219">
        <f>装備閲覧!B219</f>
        <v>218</v>
      </c>
      <c r="B219" t="str">
        <f>装備閲覧!C219</f>
        <v>局地戦闘機</v>
      </c>
      <c r="C219" t="str">
        <f>装備閲覧!D219</f>
        <v>四式戦 疾風</v>
      </c>
      <c r="D219">
        <f>装備閲覧!H219</f>
        <v>44</v>
      </c>
      <c r="E219">
        <f>装備閲覧!J219</f>
        <v>0</v>
      </c>
      <c r="F219">
        <f>装備閲覧!K219</f>
        <v>0</v>
      </c>
      <c r="G219">
        <f>装備閲覧!L219</f>
        <v>10</v>
      </c>
      <c r="H219">
        <f>装備閲覧!M219</f>
        <v>0</v>
      </c>
      <c r="I219">
        <f>装備閲覧!N219</f>
        <v>0</v>
      </c>
      <c r="J219">
        <f>装備閲覧!O219</f>
        <v>1</v>
      </c>
      <c r="K219">
        <f>装備閲覧!P219</f>
        <v>0</v>
      </c>
      <c r="L219">
        <f>装備閲覧!R219</f>
        <v>1</v>
      </c>
      <c r="M219">
        <f>装備閲覧!S219</f>
        <v>0</v>
      </c>
      <c r="N219" t="str">
        <f>装備閲覧!T219</f>
        <v>無</v>
      </c>
      <c r="O219">
        <f>装備閲覧!AA219</f>
        <v>5</v>
      </c>
      <c r="P219" s="1">
        <f>IFERROR(IFERROR(VLOOKUP(C219,改修!A:B,2,0),_xlfn.NUMBERVALUE(VLOOKUP(C219,特殊改修値!C:D,2,0))),"×")</f>
        <v>5</v>
      </c>
      <c r="Q219" t="str">
        <f>IFERROR(VLOOKUP(C219,装備ボーナス!B:C,2,0),"×")</f>
        <v>×</v>
      </c>
      <c r="R219" t="str">
        <f>VLOOKUP(A219,wikiName!A:B,2,0)</f>
        <v>四式戦 疾風</v>
      </c>
    </row>
    <row r="220" spans="1:18" x14ac:dyDescent="0.4">
      <c r="A220">
        <f>装備閲覧!B220</f>
        <v>219</v>
      </c>
      <c r="B220" t="str">
        <f>装備閲覧!C220</f>
        <v>艦上爆撃機</v>
      </c>
      <c r="C220" t="str">
        <f>装備閲覧!D220</f>
        <v>零式艦戦63型(爆戦)</v>
      </c>
      <c r="D220">
        <f>装備閲覧!H220</f>
        <v>7</v>
      </c>
      <c r="E220">
        <f>装備閲覧!J220</f>
        <v>0</v>
      </c>
      <c r="F220">
        <f>装備閲覧!K220</f>
        <v>0</v>
      </c>
      <c r="G220">
        <f>装備閲覧!L220</f>
        <v>5</v>
      </c>
      <c r="H220">
        <f>装備閲覧!M220</f>
        <v>0</v>
      </c>
      <c r="I220">
        <f>装備閲覧!N220</f>
        <v>2</v>
      </c>
      <c r="J220">
        <f>装備閲覧!O220</f>
        <v>0</v>
      </c>
      <c r="K220">
        <f>装備閲覧!P220</f>
        <v>0</v>
      </c>
      <c r="L220">
        <f>装備閲覧!R220</f>
        <v>0</v>
      </c>
      <c r="M220">
        <f>装備閲覧!S220</f>
        <v>5</v>
      </c>
      <c r="N220" t="str">
        <f>装備閲覧!T220</f>
        <v>無</v>
      </c>
      <c r="O220">
        <f>装備閲覧!AA220</f>
        <v>4</v>
      </c>
      <c r="P220" s="1" t="str">
        <f>IFERROR(IFERROR(VLOOKUP(C220,改修!A:B,2,0),_xlfn.NUMBERVALUE(VLOOKUP(C220,特殊改修値!C:D,2,0))),"×")</f>
        <v>〇</v>
      </c>
      <c r="Q220" t="str">
        <f>IFERROR(VLOOKUP(C220,装備ボーナス!B:C,2,0),"×")</f>
        <v>×</v>
      </c>
      <c r="R220" t="str">
        <f>VLOOKUP(A220,wikiName!A:B,2,0)</f>
        <v>零式艦戦63型(爆戦)</v>
      </c>
    </row>
    <row r="221" spans="1:18" x14ac:dyDescent="0.4">
      <c r="A221">
        <f>装備閲覧!B221</f>
        <v>220</v>
      </c>
      <c r="B221" t="str">
        <f>装備閲覧!C221</f>
        <v>副砲</v>
      </c>
      <c r="C221" t="str">
        <f>装備閲覧!D221</f>
        <v>8cm高角砲改+増設機銃</v>
      </c>
      <c r="D221">
        <f>装備閲覧!H221</f>
        <v>16</v>
      </c>
      <c r="E221">
        <f>装備閲覧!J221</f>
        <v>1</v>
      </c>
      <c r="F221">
        <f>装備閲覧!K221</f>
        <v>0</v>
      </c>
      <c r="G221">
        <f>装備閲覧!L221</f>
        <v>7</v>
      </c>
      <c r="H221">
        <f>装備閲覧!M221</f>
        <v>0</v>
      </c>
      <c r="I221">
        <f>装備閲覧!N221</f>
        <v>0</v>
      </c>
      <c r="J221">
        <f>装備閲覧!O221</f>
        <v>1</v>
      </c>
      <c r="K221">
        <f>装備閲覧!P221</f>
        <v>0</v>
      </c>
      <c r="L221">
        <f>装備閲覧!R221</f>
        <v>2</v>
      </c>
      <c r="M221">
        <f>装備閲覧!S221</f>
        <v>0</v>
      </c>
      <c r="N221" t="str">
        <f>装備閲覧!T221</f>
        <v>短</v>
      </c>
      <c r="O221">
        <f>装備閲覧!AA221</f>
        <v>0</v>
      </c>
      <c r="P221" s="1" t="str">
        <f>IFERROR(IFERROR(VLOOKUP(C221,改修!A:B,2,0),_xlfn.NUMBERVALUE(VLOOKUP(C221,特殊改修値!C:D,2,0))),"×")</f>
        <v>〇</v>
      </c>
      <c r="Q221" t="str">
        <f>IFERROR(VLOOKUP(C221,装備ボーナス!B:C,2,0),"×")</f>
        <v>×</v>
      </c>
      <c r="R221" t="str">
        <f>VLOOKUP(A221,wikiName!A:B,2,0)</f>
        <v>8cm高角砲改＋増設機銃</v>
      </c>
    </row>
    <row r="222" spans="1:18" x14ac:dyDescent="0.4">
      <c r="A222">
        <f>装備閲覧!B222</f>
        <v>221</v>
      </c>
      <c r="B222" t="str">
        <f>装備閲覧!C222</f>
        <v>局地戦闘機</v>
      </c>
      <c r="C222" t="str">
        <f>装備閲覧!D222</f>
        <v>一式戦 隼II型</v>
      </c>
      <c r="D222">
        <f>装備閲覧!H222</f>
        <v>44</v>
      </c>
      <c r="E222">
        <f>装備閲覧!J222</f>
        <v>0</v>
      </c>
      <c r="F222">
        <f>装備閲覧!K222</f>
        <v>0</v>
      </c>
      <c r="G222">
        <f>装備閲覧!L222</f>
        <v>6</v>
      </c>
      <c r="H222">
        <f>装備閲覧!M222</f>
        <v>0</v>
      </c>
      <c r="I222">
        <f>装備閲覧!N222</f>
        <v>0</v>
      </c>
      <c r="J222">
        <f>装備閲覧!O222</f>
        <v>2</v>
      </c>
      <c r="K222">
        <f>装備閲覧!P222</f>
        <v>0</v>
      </c>
      <c r="L222">
        <f>装備閲覧!R222</f>
        <v>0</v>
      </c>
      <c r="M222">
        <f>装備閲覧!S222</f>
        <v>0</v>
      </c>
      <c r="N222" t="str">
        <f>装備閲覧!T222</f>
        <v>無</v>
      </c>
      <c r="O222">
        <f>装備閲覧!AA222</f>
        <v>6</v>
      </c>
      <c r="P222" s="1" t="str">
        <f>IFERROR(IFERROR(VLOOKUP(C222,改修!A:B,2,0),_xlfn.NUMBERVALUE(VLOOKUP(C222,特殊改修値!C:D,2,0))),"×")</f>
        <v>〇</v>
      </c>
      <c r="Q222" t="str">
        <f>IFERROR(VLOOKUP(C222,装備ボーナス!B:C,2,0),"×")</f>
        <v>×</v>
      </c>
      <c r="R222" t="str">
        <f>VLOOKUP(A222,wikiName!A:B,2,0)</f>
        <v>一式戦 隼II型</v>
      </c>
    </row>
    <row r="223" spans="1:18" x14ac:dyDescent="0.4">
      <c r="A223">
        <f>装備閲覧!B223</f>
        <v>222</v>
      </c>
      <c r="B223" t="str">
        <f>装備閲覧!C223</f>
        <v>局地戦闘機</v>
      </c>
      <c r="C223" t="str">
        <f>装備閲覧!D223</f>
        <v>一式戦 隼III型甲</v>
      </c>
      <c r="D223">
        <f>装備閲覧!H223</f>
        <v>44</v>
      </c>
      <c r="E223">
        <f>装備閲覧!J223</f>
        <v>1</v>
      </c>
      <c r="F223">
        <f>装備閲覧!K223</f>
        <v>0</v>
      </c>
      <c r="G223">
        <f>装備閲覧!L223</f>
        <v>7</v>
      </c>
      <c r="H223">
        <f>装備閲覧!M223</f>
        <v>0</v>
      </c>
      <c r="I223">
        <f>装備閲覧!N223</f>
        <v>0</v>
      </c>
      <c r="J223">
        <f>装備閲覧!O223</f>
        <v>3</v>
      </c>
      <c r="K223">
        <f>装備閲覧!P223</f>
        <v>0</v>
      </c>
      <c r="L223">
        <f>装備閲覧!R223</f>
        <v>1</v>
      </c>
      <c r="M223">
        <f>装備閲覧!S223</f>
        <v>0</v>
      </c>
      <c r="N223" t="str">
        <f>装備閲覧!T223</f>
        <v>無</v>
      </c>
      <c r="O223">
        <f>装備閲覧!AA223</f>
        <v>6</v>
      </c>
      <c r="P223" s="1" t="str">
        <f>IFERROR(IFERROR(VLOOKUP(C223,改修!A:B,2,0),_xlfn.NUMBERVALUE(VLOOKUP(C223,特殊改修値!C:D,2,0))),"×")</f>
        <v>〇</v>
      </c>
      <c r="Q223" t="str">
        <f>IFERROR(VLOOKUP(C223,装備ボーナス!B:C,2,0),"×")</f>
        <v>×</v>
      </c>
      <c r="R223" t="str">
        <f>VLOOKUP(A223,wikiName!A:B,2,0)</f>
        <v>一式戦 隼III型甲</v>
      </c>
    </row>
    <row r="224" spans="1:18" x14ac:dyDescent="0.4">
      <c r="A224">
        <f>装備閲覧!B224</f>
        <v>223</v>
      </c>
      <c r="B224" t="str">
        <f>装備閲覧!C224</f>
        <v>局地戦闘機</v>
      </c>
      <c r="C224" t="str">
        <f>装備閲覧!D224</f>
        <v>一式戦 隼III型甲(54戦隊)</v>
      </c>
      <c r="D224">
        <f>装備閲覧!H224</f>
        <v>44</v>
      </c>
      <c r="E224">
        <f>装備閲覧!J224</f>
        <v>2</v>
      </c>
      <c r="F224">
        <f>装備閲覧!K224</f>
        <v>0</v>
      </c>
      <c r="G224">
        <f>装備閲覧!L224</f>
        <v>8</v>
      </c>
      <c r="H224">
        <f>装備閲覧!M224</f>
        <v>0</v>
      </c>
      <c r="I224">
        <f>装備閲覧!N224</f>
        <v>0</v>
      </c>
      <c r="J224">
        <f>装備閲覧!O224</f>
        <v>3</v>
      </c>
      <c r="K224">
        <f>装備閲覧!P224</f>
        <v>1</v>
      </c>
      <c r="L224">
        <f>装備閲覧!R224</f>
        <v>1</v>
      </c>
      <c r="M224">
        <f>装備閲覧!S224</f>
        <v>0</v>
      </c>
      <c r="N224" t="str">
        <f>装備閲覧!T224</f>
        <v>無</v>
      </c>
      <c r="O224">
        <f>装備閲覧!AA224</f>
        <v>7</v>
      </c>
      <c r="P224" s="1" t="str">
        <f>IFERROR(IFERROR(VLOOKUP(C224,改修!A:B,2,0),_xlfn.NUMBERVALUE(VLOOKUP(C224,特殊改修値!C:D,2,0))),"×")</f>
        <v>×</v>
      </c>
      <c r="Q224" t="str">
        <f>IFERROR(VLOOKUP(C224,装備ボーナス!B:C,2,0),"×")</f>
        <v>×</v>
      </c>
      <c r="R224" t="str">
        <f>VLOOKUP(A224,wikiName!A:B,2,0)</f>
        <v>一式戦 隼III型甲(54戦隊)</v>
      </c>
    </row>
    <row r="225" spans="1:18" x14ac:dyDescent="0.4">
      <c r="A225">
        <f>装備閲覧!B225</f>
        <v>224</v>
      </c>
      <c r="B225" t="str">
        <f>装備閲覧!C225</f>
        <v>陸上攻撃機</v>
      </c>
      <c r="C225" t="str">
        <f>装備閲覧!D225</f>
        <v>爆装一式戦 隼III型改(65戦隊)</v>
      </c>
      <c r="D225">
        <f>装備閲覧!H225</f>
        <v>44</v>
      </c>
      <c r="E225">
        <f>装備閲覧!J225</f>
        <v>3</v>
      </c>
      <c r="F225">
        <f>装備閲覧!K225</f>
        <v>0</v>
      </c>
      <c r="G225">
        <f>装備閲覧!L225</f>
        <v>6</v>
      </c>
      <c r="H225">
        <f>装備閲覧!M225</f>
        <v>0</v>
      </c>
      <c r="I225">
        <f>装備閲覧!N225</f>
        <v>0</v>
      </c>
      <c r="J225">
        <f>装備閲覧!O225</f>
        <v>2</v>
      </c>
      <c r="K225">
        <f>装備閲覧!P225</f>
        <v>1</v>
      </c>
      <c r="L225">
        <f>装備閲覧!R225</f>
        <v>3</v>
      </c>
      <c r="M225">
        <f>装備閲覧!S225</f>
        <v>8</v>
      </c>
      <c r="N225" t="str">
        <f>装備閲覧!T225</f>
        <v>無</v>
      </c>
      <c r="O225">
        <f>装備閲覧!AA225</f>
        <v>5</v>
      </c>
      <c r="P225" s="1" t="str">
        <f>IFERROR(IFERROR(VLOOKUP(C225,改修!A:B,2,0),_xlfn.NUMBERVALUE(VLOOKUP(C225,特殊改修値!C:D,2,0))),"×")</f>
        <v>×</v>
      </c>
      <c r="Q225" t="str">
        <f>IFERROR(VLOOKUP(C225,装備ボーナス!B:C,2,0),"×")</f>
        <v>×</v>
      </c>
      <c r="R225" t="str">
        <f>VLOOKUP(A225,wikiName!A:B,2,0)</f>
        <v>爆装一式戦 隼III型改(65戦隊)</v>
      </c>
    </row>
    <row r="226" spans="1:18" x14ac:dyDescent="0.4">
      <c r="A226">
        <f>装備閲覧!B226</f>
        <v>225</v>
      </c>
      <c r="B226" t="str">
        <f>装備閲覧!C226</f>
        <v>局地戦闘機</v>
      </c>
      <c r="C226" t="str">
        <f>装備閲覧!D226</f>
        <v>一式戦 隼II型(64戦隊)</v>
      </c>
      <c r="D226">
        <f>装備閲覧!H226</f>
        <v>44</v>
      </c>
      <c r="E226">
        <f>装備閲覧!J226</f>
        <v>1</v>
      </c>
      <c r="F226">
        <f>装備閲覧!K226</f>
        <v>0</v>
      </c>
      <c r="G226">
        <f>装備閲覧!L226</f>
        <v>11</v>
      </c>
      <c r="H226">
        <f>装備閲覧!M226</f>
        <v>0</v>
      </c>
      <c r="I226">
        <f>装備閲覧!N226</f>
        <v>0</v>
      </c>
      <c r="J226">
        <f>装備閲覧!O226</f>
        <v>5</v>
      </c>
      <c r="K226">
        <f>装備閲覧!P226</f>
        <v>1</v>
      </c>
      <c r="L226">
        <f>装備閲覧!R226</f>
        <v>1</v>
      </c>
      <c r="M226">
        <f>装備閲覧!S226</f>
        <v>0</v>
      </c>
      <c r="N226" t="str">
        <f>装備閲覧!T226</f>
        <v>無</v>
      </c>
      <c r="O226">
        <f>装備閲覧!AA226</f>
        <v>7</v>
      </c>
      <c r="P226" s="1" t="str">
        <f>IFERROR(IFERROR(VLOOKUP(C226,改修!A:B,2,0),_xlfn.NUMBERVALUE(VLOOKUP(C226,特殊改修値!C:D,2,0))),"×")</f>
        <v>×</v>
      </c>
      <c r="Q226" t="str">
        <f>IFERROR(VLOOKUP(C226,装備ボーナス!B:C,2,0),"×")</f>
        <v>×</v>
      </c>
      <c r="R226" t="str">
        <f>VLOOKUP(A226,wikiName!A:B,2,0)</f>
        <v>一式戦 隼II型(64戦隊)</v>
      </c>
    </row>
    <row r="227" spans="1:18" x14ac:dyDescent="0.4">
      <c r="A227">
        <f>装備閲覧!B227</f>
        <v>226</v>
      </c>
      <c r="B227" t="str">
        <f>装備閲覧!C227</f>
        <v>爆雷</v>
      </c>
      <c r="C227" t="str">
        <f>装備閲覧!D227</f>
        <v>九五式爆雷</v>
      </c>
      <c r="D227">
        <f>装備閲覧!H227</f>
        <v>17</v>
      </c>
      <c r="E227">
        <f>装備閲覧!J227</f>
        <v>0</v>
      </c>
      <c r="F227">
        <f>装備閲覧!K227</f>
        <v>0</v>
      </c>
      <c r="G227">
        <f>装備閲覧!L227</f>
        <v>0</v>
      </c>
      <c r="H227">
        <f>装備閲覧!M227</f>
        <v>0</v>
      </c>
      <c r="I227">
        <f>装備閲覧!N227</f>
        <v>4</v>
      </c>
      <c r="J227">
        <f>装備閲覧!O227</f>
        <v>0</v>
      </c>
      <c r="K227">
        <f>装備閲覧!P227</f>
        <v>0</v>
      </c>
      <c r="L227">
        <f>装備閲覧!R227</f>
        <v>0</v>
      </c>
      <c r="M227">
        <f>装備閲覧!S227</f>
        <v>0</v>
      </c>
      <c r="N227" t="str">
        <f>装備閲覧!T227</f>
        <v>無</v>
      </c>
      <c r="O227">
        <f>装備閲覧!AA227</f>
        <v>0</v>
      </c>
      <c r="P227" s="1" t="str">
        <f>IFERROR(IFERROR(VLOOKUP(C227,改修!A:B,2,0),_xlfn.NUMBERVALUE(VLOOKUP(C227,特殊改修値!C:D,2,0))),"×")</f>
        <v>〇</v>
      </c>
      <c r="Q227" t="str">
        <f>IFERROR(VLOOKUP(C227,装備ボーナス!B:C,2,0),"×")</f>
        <v>×</v>
      </c>
      <c r="R227" t="str">
        <f>VLOOKUP(A227,wikiName!A:B,2,0)</f>
        <v>九五式爆雷</v>
      </c>
    </row>
    <row r="228" spans="1:18" x14ac:dyDescent="0.4">
      <c r="A228">
        <f>装備閲覧!B228</f>
        <v>227</v>
      </c>
      <c r="B228" t="str">
        <f>装備閲覧!C228</f>
        <v>爆雷</v>
      </c>
      <c r="C228" t="str">
        <f>装備閲覧!D228</f>
        <v>二式爆雷</v>
      </c>
      <c r="D228">
        <f>装備閲覧!H228</f>
        <v>17</v>
      </c>
      <c r="E228">
        <f>装備閲覧!J228</f>
        <v>0</v>
      </c>
      <c r="F228">
        <f>装備閲覧!K228</f>
        <v>0</v>
      </c>
      <c r="G228">
        <f>装備閲覧!L228</f>
        <v>0</v>
      </c>
      <c r="H228">
        <f>装備閲覧!M228</f>
        <v>0</v>
      </c>
      <c r="I228">
        <f>装備閲覧!N228</f>
        <v>7</v>
      </c>
      <c r="J228">
        <f>装備閲覧!O228</f>
        <v>0</v>
      </c>
      <c r="K228">
        <f>装備閲覧!P228</f>
        <v>0</v>
      </c>
      <c r="L228">
        <f>装備閲覧!R228</f>
        <v>0</v>
      </c>
      <c r="M228">
        <f>装備閲覧!S228</f>
        <v>0</v>
      </c>
      <c r="N228" t="str">
        <f>装備閲覧!T228</f>
        <v>無</v>
      </c>
      <c r="O228">
        <f>装備閲覧!AA228</f>
        <v>0</v>
      </c>
      <c r="P228" s="1" t="str">
        <f>IFERROR(IFERROR(VLOOKUP(C228,改修!A:B,2,0),_xlfn.NUMBERVALUE(VLOOKUP(C228,特殊改修値!C:D,2,0))),"×")</f>
        <v>×</v>
      </c>
      <c r="Q228" t="str">
        <f>IFERROR(VLOOKUP(C228,装備ボーナス!B:C,2,0),"×")</f>
        <v>×</v>
      </c>
      <c r="R228" t="str">
        <f>VLOOKUP(A228,wikiName!A:B,2,0)</f>
        <v>二式爆雷</v>
      </c>
    </row>
    <row r="229" spans="1:18" x14ac:dyDescent="0.4">
      <c r="A229">
        <f>装備閲覧!B229</f>
        <v>228</v>
      </c>
      <c r="B229" t="str">
        <f>装備閲覧!C229</f>
        <v>艦上戦闘機</v>
      </c>
      <c r="C229" t="str">
        <f>装備閲覧!D229</f>
        <v>九六式艦戦改</v>
      </c>
      <c r="D229">
        <f>装備閲覧!H229</f>
        <v>6</v>
      </c>
      <c r="E229">
        <f>装備閲覧!J229</f>
        <v>0</v>
      </c>
      <c r="F229">
        <f>装備閲覧!K229</f>
        <v>0</v>
      </c>
      <c r="G229">
        <f>装備閲覧!L229</f>
        <v>4</v>
      </c>
      <c r="H229">
        <f>装備閲覧!M229</f>
        <v>0</v>
      </c>
      <c r="I229">
        <f>装備閲覧!N229</f>
        <v>0</v>
      </c>
      <c r="J229">
        <f>装備閲覧!O229</f>
        <v>2</v>
      </c>
      <c r="K229">
        <f>装備閲覧!P229</f>
        <v>0</v>
      </c>
      <c r="L229">
        <f>装備閲覧!R229</f>
        <v>0</v>
      </c>
      <c r="M229">
        <f>装備閲覧!S229</f>
        <v>0</v>
      </c>
      <c r="N229" t="str">
        <f>装備閲覧!T229</f>
        <v>無</v>
      </c>
      <c r="O229">
        <f>装備閲覧!AA229</f>
        <v>4</v>
      </c>
      <c r="P229" s="1" t="str">
        <f>IFERROR(IFERROR(VLOOKUP(C229,改修!A:B,2,0),_xlfn.NUMBERVALUE(VLOOKUP(C229,特殊改修値!C:D,2,0))),"×")</f>
        <v>×</v>
      </c>
      <c r="Q229" t="str">
        <f>IFERROR(VLOOKUP(C229,装備ボーナス!B:C,2,0),"×")</f>
        <v>〇</v>
      </c>
      <c r="R229" t="str">
        <f>VLOOKUP(A229,wikiName!A:B,2,0)</f>
        <v>九六式艦戦改</v>
      </c>
    </row>
    <row r="230" spans="1:18" x14ac:dyDescent="0.4">
      <c r="A230">
        <f>装備閲覧!B230</f>
        <v>229</v>
      </c>
      <c r="B230" t="str">
        <f>装備閲覧!C230</f>
        <v>小口径主砲</v>
      </c>
      <c r="C230" t="str">
        <f>装備閲覧!D230</f>
        <v>12.7cm単装高角砲(後期型)</v>
      </c>
      <c r="D230">
        <f>装備閲覧!H230</f>
        <v>16</v>
      </c>
      <c r="E230">
        <f>装備閲覧!J230</f>
        <v>1</v>
      </c>
      <c r="F230">
        <f>装備閲覧!K230</f>
        <v>0</v>
      </c>
      <c r="G230">
        <f>装備閲覧!L230</f>
        <v>4</v>
      </c>
      <c r="H230">
        <f>装備閲覧!M230</f>
        <v>0</v>
      </c>
      <c r="I230">
        <f>装備閲覧!N230</f>
        <v>1</v>
      </c>
      <c r="J230">
        <f>装備閲覧!O230</f>
        <v>1</v>
      </c>
      <c r="K230">
        <f>装備閲覧!P230</f>
        <v>0</v>
      </c>
      <c r="L230">
        <f>装備閲覧!R230</f>
        <v>1</v>
      </c>
      <c r="M230">
        <f>装備閲覧!S230</f>
        <v>0</v>
      </c>
      <c r="N230" t="str">
        <f>装備閲覧!T230</f>
        <v>短</v>
      </c>
      <c r="O230">
        <f>装備閲覧!AA230</f>
        <v>0</v>
      </c>
      <c r="P230" s="1" t="str">
        <f>IFERROR(IFERROR(VLOOKUP(C230,改修!A:B,2,0),_xlfn.NUMBERVALUE(VLOOKUP(C230,特殊改修値!C:D,2,0))),"×")</f>
        <v>〇</v>
      </c>
      <c r="Q230" t="str">
        <f>IFERROR(VLOOKUP(C230,装備ボーナス!B:C,2,0),"×")</f>
        <v>〇</v>
      </c>
      <c r="R230" t="str">
        <f>VLOOKUP(A230,wikiName!A:B,2,0)</f>
        <v>12.7cm単装高角砲(後期型)</v>
      </c>
    </row>
    <row r="231" spans="1:18" x14ac:dyDescent="0.4">
      <c r="A231">
        <f>装備閲覧!B231</f>
        <v>230</v>
      </c>
      <c r="B231" t="str">
        <f>装備閲覧!C231</f>
        <v>上陸用舟艇</v>
      </c>
      <c r="C231" t="str">
        <f>装備閲覧!D231</f>
        <v>特大発動艇+戦車第11連隊</v>
      </c>
      <c r="D231">
        <f>装備閲覧!H231</f>
        <v>20</v>
      </c>
      <c r="E231">
        <f>装備閲覧!J231</f>
        <v>0</v>
      </c>
      <c r="F231">
        <f>装備閲覧!K231</f>
        <v>0</v>
      </c>
      <c r="G231">
        <f>装備閲覧!L231</f>
        <v>0</v>
      </c>
      <c r="H231">
        <f>装備閲覧!M231</f>
        <v>0</v>
      </c>
      <c r="I231">
        <f>装備閲覧!N231</f>
        <v>0</v>
      </c>
      <c r="J231">
        <f>装備閲覧!O231</f>
        <v>0</v>
      </c>
      <c r="K231">
        <f>装備閲覧!P231</f>
        <v>0</v>
      </c>
      <c r="L231">
        <f>装備閲覧!R231</f>
        <v>0</v>
      </c>
      <c r="M231">
        <f>装備閲覧!S231</f>
        <v>0</v>
      </c>
      <c r="N231" t="str">
        <f>装備閲覧!T231</f>
        <v>無</v>
      </c>
      <c r="O231">
        <f>装備閲覧!AA231</f>
        <v>0</v>
      </c>
      <c r="P231" s="1" t="str">
        <f>IFERROR(IFERROR(VLOOKUP(C231,改修!A:B,2,0),_xlfn.NUMBERVALUE(VLOOKUP(C231,特殊改修値!C:D,2,0))),"×")</f>
        <v>×</v>
      </c>
      <c r="Q231" t="str">
        <f>IFERROR(VLOOKUP(C231,装備ボーナス!B:C,2,0),"×")</f>
        <v>×</v>
      </c>
      <c r="R231" t="str">
        <f>VLOOKUP(A231,wikiName!A:B,2,0)</f>
        <v>特大発動艇＋戦車第11連隊</v>
      </c>
    </row>
    <row r="232" spans="1:18" x14ac:dyDescent="0.4">
      <c r="A232">
        <f>装備閲覧!B232</f>
        <v>231</v>
      </c>
      <c r="B232" t="str">
        <f>装備閲覧!C232</f>
        <v>大口径主砲</v>
      </c>
      <c r="C232" t="str">
        <f>装備閲覧!D232</f>
        <v>30.5cm三連装砲</v>
      </c>
      <c r="D232">
        <f>装備閲覧!H232</f>
        <v>3</v>
      </c>
      <c r="E232">
        <f>装備閲覧!J232</f>
        <v>16</v>
      </c>
      <c r="F232">
        <f>装備閲覧!K232</f>
        <v>0</v>
      </c>
      <c r="G232">
        <f>装備閲覧!L232</f>
        <v>0</v>
      </c>
      <c r="H232">
        <f>装備閲覧!M232</f>
        <v>1</v>
      </c>
      <c r="I232">
        <f>装備閲覧!N232</f>
        <v>0</v>
      </c>
      <c r="J232">
        <f>装備閲覧!O232</f>
        <v>0</v>
      </c>
      <c r="K232">
        <f>装備閲覧!P232</f>
        <v>0</v>
      </c>
      <c r="L232">
        <f>装備閲覧!R232</f>
        <v>1</v>
      </c>
      <c r="M232">
        <f>装備閲覧!S232</f>
        <v>0</v>
      </c>
      <c r="N232" t="str">
        <f>装備閲覧!T232</f>
        <v>長</v>
      </c>
      <c r="O232">
        <f>装備閲覧!AA232</f>
        <v>0</v>
      </c>
      <c r="P232" s="1" t="str">
        <f>IFERROR(IFERROR(VLOOKUP(C232,改修!A:B,2,0),_xlfn.NUMBERVALUE(VLOOKUP(C232,特殊改修値!C:D,2,0))),"×")</f>
        <v>×</v>
      </c>
      <c r="Q232" t="str">
        <f>IFERROR(VLOOKUP(C232,装備ボーナス!B:C,2,0),"×")</f>
        <v>×</v>
      </c>
      <c r="R232" t="str">
        <f>VLOOKUP(A232,wikiName!A:B,2,0)</f>
        <v>30.5cm三連装砲</v>
      </c>
    </row>
    <row r="233" spans="1:18" x14ac:dyDescent="0.4">
      <c r="A233">
        <f>装備閲覧!B233</f>
        <v>232</v>
      </c>
      <c r="B233" t="str">
        <f>装備閲覧!C233</f>
        <v>大口径主砲</v>
      </c>
      <c r="C233" t="str">
        <f>装備閲覧!D233</f>
        <v>30.5cm三連装砲改</v>
      </c>
      <c r="D233">
        <f>装備閲覧!H233</f>
        <v>3</v>
      </c>
      <c r="E233">
        <f>装備閲覧!J233</f>
        <v>17</v>
      </c>
      <c r="F233">
        <f>装備閲覧!K233</f>
        <v>0</v>
      </c>
      <c r="G233">
        <f>装備閲覧!L233</f>
        <v>3</v>
      </c>
      <c r="H233">
        <f>装備閲覧!M233</f>
        <v>1</v>
      </c>
      <c r="I233">
        <f>装備閲覧!N233</f>
        <v>0</v>
      </c>
      <c r="J233">
        <f>装備閲覧!O233</f>
        <v>1</v>
      </c>
      <c r="K233">
        <f>装備閲覧!P233</f>
        <v>0</v>
      </c>
      <c r="L233">
        <f>装備閲覧!R233</f>
        <v>3</v>
      </c>
      <c r="M233">
        <f>装備閲覧!S233</f>
        <v>0</v>
      </c>
      <c r="N233" t="str">
        <f>装備閲覧!T233</f>
        <v>長</v>
      </c>
      <c r="O233">
        <f>装備閲覧!AA233</f>
        <v>0</v>
      </c>
      <c r="P233" s="1" t="str">
        <f>IFERROR(IFERROR(VLOOKUP(C233,改修!A:B,2,0),_xlfn.NUMBERVALUE(VLOOKUP(C233,特殊改修値!C:D,2,0))),"×")</f>
        <v>×</v>
      </c>
      <c r="Q233" t="str">
        <f>IFERROR(VLOOKUP(C233,装備ボーナス!B:C,2,0),"×")</f>
        <v>×</v>
      </c>
      <c r="R233" t="str">
        <f>VLOOKUP(A233,wikiName!A:B,2,0)</f>
        <v>30.5cm三連装砲改</v>
      </c>
    </row>
    <row r="234" spans="1:18" x14ac:dyDescent="0.4">
      <c r="A234">
        <f>装備閲覧!B234</f>
        <v>233</v>
      </c>
      <c r="B234" t="str">
        <f>装備閲覧!C234</f>
        <v>艦上爆撃機</v>
      </c>
      <c r="C234" t="str">
        <f>装備閲覧!D234</f>
        <v>F4U-1D</v>
      </c>
      <c r="D234">
        <f>装備閲覧!H234</f>
        <v>7</v>
      </c>
      <c r="E234">
        <f>装備閲覧!J234</f>
        <v>1</v>
      </c>
      <c r="F234">
        <f>装備閲覧!K234</f>
        <v>0</v>
      </c>
      <c r="G234">
        <f>装備閲覧!L234</f>
        <v>7</v>
      </c>
      <c r="H234">
        <f>装備閲覧!M234</f>
        <v>0</v>
      </c>
      <c r="I234">
        <f>装備閲覧!N234</f>
        <v>1</v>
      </c>
      <c r="J234">
        <f>装備閲覧!O234</f>
        <v>1</v>
      </c>
      <c r="K234">
        <f>装備閲覧!P234</f>
        <v>1</v>
      </c>
      <c r="L234">
        <f>装備閲覧!R234</f>
        <v>0</v>
      </c>
      <c r="M234">
        <f>装備閲覧!S234</f>
        <v>7</v>
      </c>
      <c r="N234" t="str">
        <f>装備閲覧!T234</f>
        <v>無</v>
      </c>
      <c r="O234">
        <f>装備閲覧!AA234</f>
        <v>6</v>
      </c>
      <c r="P234" s="1" t="str">
        <f>IFERROR(IFERROR(VLOOKUP(C234,改修!A:B,2,0),_xlfn.NUMBERVALUE(VLOOKUP(C234,特殊改修値!C:D,2,0))),"×")</f>
        <v>×</v>
      </c>
      <c r="Q234" t="str">
        <f>IFERROR(VLOOKUP(C234,装備ボーナス!B:C,2,0),"×")</f>
        <v>×</v>
      </c>
      <c r="R234" t="str">
        <f>VLOOKUP(A234,wikiName!A:B,2,0)</f>
        <v>F4U-1D</v>
      </c>
    </row>
    <row r="235" spans="1:18" x14ac:dyDescent="0.4">
      <c r="A235">
        <f>装備閲覧!B235</f>
        <v>234</v>
      </c>
      <c r="B235" t="str">
        <f>装備閲覧!C235</f>
        <v>副砲</v>
      </c>
      <c r="C235" t="str">
        <f>装備閲覧!D235</f>
        <v>15.5cm三連装副砲改</v>
      </c>
      <c r="D235">
        <f>装備閲覧!H235</f>
        <v>4</v>
      </c>
      <c r="E235">
        <f>装備閲覧!J235</f>
        <v>7</v>
      </c>
      <c r="F235">
        <f>装備閲覧!K235</f>
        <v>0</v>
      </c>
      <c r="G235">
        <f>装備閲覧!L235</f>
        <v>5</v>
      </c>
      <c r="H235">
        <f>装備閲覧!M235</f>
        <v>0</v>
      </c>
      <c r="I235">
        <f>装備閲覧!N235</f>
        <v>0</v>
      </c>
      <c r="J235">
        <f>装備閲覧!O235</f>
        <v>1</v>
      </c>
      <c r="K235">
        <f>装備閲覧!P235</f>
        <v>0</v>
      </c>
      <c r="L235">
        <f>装備閲覧!R235</f>
        <v>4</v>
      </c>
      <c r="M235">
        <f>装備閲覧!S235</f>
        <v>0</v>
      </c>
      <c r="N235" t="str">
        <f>装備閲覧!T235</f>
        <v>中</v>
      </c>
      <c r="O235">
        <f>装備閲覧!AA235</f>
        <v>0</v>
      </c>
      <c r="P235" s="1" t="str">
        <f>IFERROR(IFERROR(VLOOKUP(C235,改修!A:B,2,0),_xlfn.NUMBERVALUE(VLOOKUP(C235,特殊改修値!C:D,2,0))),"×")</f>
        <v>〇</v>
      </c>
      <c r="Q235" t="str">
        <f>IFERROR(VLOOKUP(C235,装備ボーナス!B:C,2,0),"×")</f>
        <v>×</v>
      </c>
      <c r="R235" t="str">
        <f>VLOOKUP(A235,wikiName!A:B,2,0)</f>
        <v>15.5cm三連装副砲改</v>
      </c>
    </row>
    <row r="236" spans="1:18" x14ac:dyDescent="0.4">
      <c r="A236">
        <f>装備閲覧!B236</f>
        <v>235</v>
      </c>
      <c r="B236" t="str">
        <f>装備閲覧!C236</f>
        <v>中口径主砲</v>
      </c>
      <c r="C236" t="str">
        <f>装備閲覧!D236</f>
        <v>15.5cm三連装砲改</v>
      </c>
      <c r="D236">
        <f>装備閲覧!H236</f>
        <v>2</v>
      </c>
      <c r="E236">
        <f>装備閲覧!J236</f>
        <v>7</v>
      </c>
      <c r="F236">
        <f>装備閲覧!K236</f>
        <v>0</v>
      </c>
      <c r="G236">
        <f>装備閲覧!L236</f>
        <v>5</v>
      </c>
      <c r="H236">
        <f>装備閲覧!M236</f>
        <v>1</v>
      </c>
      <c r="I236">
        <f>装備閲覧!N236</f>
        <v>0</v>
      </c>
      <c r="J236">
        <f>装備閲覧!O236</f>
        <v>1</v>
      </c>
      <c r="K236">
        <f>装備閲覧!P236</f>
        <v>0</v>
      </c>
      <c r="L236">
        <f>装備閲覧!R236</f>
        <v>3</v>
      </c>
      <c r="M236">
        <f>装備閲覧!S236</f>
        <v>0</v>
      </c>
      <c r="N236" t="str">
        <f>装備閲覧!T236</f>
        <v>中</v>
      </c>
      <c r="O236">
        <f>装備閲覧!AA236</f>
        <v>0</v>
      </c>
      <c r="P236" s="1" t="str">
        <f>IFERROR(IFERROR(VLOOKUP(C236,改修!A:B,2,0),_xlfn.NUMBERVALUE(VLOOKUP(C236,特殊改修値!C:D,2,0))),"×")</f>
        <v>〇</v>
      </c>
      <c r="Q236" t="str">
        <f>IFERROR(VLOOKUP(C236,装備ボーナス!B:C,2,0),"×")</f>
        <v>×</v>
      </c>
      <c r="R236" t="str">
        <f>VLOOKUP(A236,wikiName!A:B,2,0)</f>
        <v>15.5cm三連装砲改</v>
      </c>
    </row>
    <row r="237" spans="1:18" x14ac:dyDescent="0.4">
      <c r="A237">
        <f>装備閲覧!B237</f>
        <v>236</v>
      </c>
      <c r="B237" t="str">
        <f>装備閲覧!C237</f>
        <v>大口径主砲</v>
      </c>
      <c r="C237" t="str">
        <f>装備閲覧!D237</f>
        <v>41cm三連装砲改</v>
      </c>
      <c r="D237">
        <f>装備閲覧!H237</f>
        <v>3</v>
      </c>
      <c r="E237">
        <f>装備閲覧!J237</f>
        <v>22</v>
      </c>
      <c r="F237">
        <f>装備閲覧!K237</f>
        <v>0</v>
      </c>
      <c r="G237">
        <f>装備閲覧!L237</f>
        <v>6</v>
      </c>
      <c r="H237">
        <f>装備閲覧!M237</f>
        <v>1</v>
      </c>
      <c r="I237">
        <f>装備閲覧!N237</f>
        <v>0</v>
      </c>
      <c r="J237">
        <f>装備閲覧!O237</f>
        <v>0</v>
      </c>
      <c r="K237">
        <f>装備閲覧!P237</f>
        <v>0</v>
      </c>
      <c r="L237">
        <f>装備閲覧!R237</f>
        <v>4</v>
      </c>
      <c r="M237">
        <f>装備閲覧!S237</f>
        <v>0</v>
      </c>
      <c r="N237" t="str">
        <f>装備閲覧!T237</f>
        <v>長</v>
      </c>
      <c r="O237">
        <f>装備閲覧!AA237</f>
        <v>0</v>
      </c>
      <c r="P237" s="1" t="str">
        <f>IFERROR(IFERROR(VLOOKUP(C237,改修!A:B,2,0),_xlfn.NUMBERVALUE(VLOOKUP(C237,特殊改修値!C:D,2,0))),"×")</f>
        <v>〇</v>
      </c>
      <c r="Q237" t="str">
        <f>IFERROR(VLOOKUP(C237,装備ボーナス!B:C,2,0),"×")</f>
        <v>×</v>
      </c>
      <c r="R237" t="str">
        <f>VLOOKUP(A237,wikiName!A:B,2,0)</f>
        <v>41cm三連装砲改</v>
      </c>
    </row>
    <row r="238" spans="1:18" x14ac:dyDescent="0.4">
      <c r="A238">
        <f>装備閲覧!B238</f>
        <v>237</v>
      </c>
      <c r="B238" t="str">
        <f>装備閲覧!C238</f>
        <v>水上爆撃機</v>
      </c>
      <c r="C238" t="str">
        <f>装備閲覧!D238</f>
        <v>瑞雲(六三四空/熟練)</v>
      </c>
      <c r="D238">
        <f>装備閲覧!H238</f>
        <v>10</v>
      </c>
      <c r="E238">
        <f>装備閲覧!J238</f>
        <v>0</v>
      </c>
      <c r="F238">
        <f>装備閲覧!K238</f>
        <v>0</v>
      </c>
      <c r="G238">
        <f>装備閲覧!L238</f>
        <v>4</v>
      </c>
      <c r="H238">
        <f>装備閲覧!M238</f>
        <v>0</v>
      </c>
      <c r="I238">
        <f>装備閲覧!N238</f>
        <v>6</v>
      </c>
      <c r="J238">
        <f>装備閲覧!O238</f>
        <v>1</v>
      </c>
      <c r="K238">
        <f>装備閲覧!P238</f>
        <v>7</v>
      </c>
      <c r="L238">
        <f>装備閲覧!R238</f>
        <v>1</v>
      </c>
      <c r="M238">
        <f>装備閲覧!S238</f>
        <v>9</v>
      </c>
      <c r="N238" t="str">
        <f>装備閲覧!T238</f>
        <v>無</v>
      </c>
      <c r="O238">
        <f>装備閲覧!AA238</f>
        <v>5</v>
      </c>
      <c r="P238" s="1" t="str">
        <f>IFERROR(IFERROR(VLOOKUP(C238,改修!A:B,2,0),_xlfn.NUMBERVALUE(VLOOKUP(C238,特殊改修値!C:D,2,0))),"×")</f>
        <v>〇</v>
      </c>
      <c r="Q238" t="str">
        <f>IFERROR(VLOOKUP(C238,装備ボーナス!B:C,2,0),"×")</f>
        <v>〇</v>
      </c>
      <c r="R238" t="str">
        <f>VLOOKUP(A238,wikiName!A:B,2,0)</f>
        <v>瑞雲(六三四空/熟練)</v>
      </c>
    </row>
    <row r="239" spans="1:18" x14ac:dyDescent="0.4">
      <c r="A239">
        <f>装備閲覧!B239</f>
        <v>238</v>
      </c>
      <c r="B239" t="str">
        <f>装備閲覧!C239</f>
        <v>水上偵察機</v>
      </c>
      <c r="C239" t="str">
        <f>装備閲覧!D239</f>
        <v>零式水上偵察機11型乙</v>
      </c>
      <c r="D239">
        <f>装備閲覧!H239</f>
        <v>10</v>
      </c>
      <c r="E239">
        <f>装備閲覧!J239</f>
        <v>1</v>
      </c>
      <c r="F239">
        <f>装備閲覧!K239</f>
        <v>0</v>
      </c>
      <c r="G239">
        <f>装備閲覧!L239</f>
        <v>1</v>
      </c>
      <c r="H239">
        <f>装備閲覧!M239</f>
        <v>0</v>
      </c>
      <c r="I239">
        <f>装備閲覧!N239</f>
        <v>7</v>
      </c>
      <c r="J239">
        <f>装備閲覧!O239</f>
        <v>0</v>
      </c>
      <c r="K239">
        <f>装備閲覧!P239</f>
        <v>6</v>
      </c>
      <c r="L239">
        <f>装備閲覧!R239</f>
        <v>2</v>
      </c>
      <c r="M239">
        <f>装備閲覧!S239</f>
        <v>0</v>
      </c>
      <c r="N239" t="str">
        <f>装備閲覧!T239</f>
        <v>無</v>
      </c>
      <c r="O239">
        <f>装備閲覧!AA239</f>
        <v>7</v>
      </c>
      <c r="P239" s="1">
        <f>IFERROR(IFERROR(VLOOKUP(C239,改修!A:B,2,0),_xlfn.NUMBERVALUE(VLOOKUP(C239,特殊改修値!C:D,2,0))),"×")</f>
        <v>2</v>
      </c>
      <c r="Q239" t="str">
        <f>IFERROR(VLOOKUP(C239,装備ボーナス!B:C,2,0),"×")</f>
        <v>×</v>
      </c>
      <c r="R239" t="str">
        <f>VLOOKUP(A239,wikiName!A:B,2,0)</f>
        <v>零式水上偵察機11型乙</v>
      </c>
    </row>
    <row r="240" spans="1:18" x14ac:dyDescent="0.4">
      <c r="A240">
        <f>装備閲覧!B240</f>
        <v>239</v>
      </c>
      <c r="B240" t="str">
        <f>装備閲覧!C240</f>
        <v>水上偵察機</v>
      </c>
      <c r="C240" t="str">
        <f>装備閲覧!D240</f>
        <v>零式水上偵察機11型乙(熟練)</v>
      </c>
      <c r="D240">
        <f>装備閲覧!H240</f>
        <v>10</v>
      </c>
      <c r="E240">
        <f>装備閲覧!J240</f>
        <v>2</v>
      </c>
      <c r="F240">
        <f>装備閲覧!K240</f>
        <v>0</v>
      </c>
      <c r="G240">
        <f>装備閲覧!L240</f>
        <v>1</v>
      </c>
      <c r="H240">
        <f>装備閲覧!M240</f>
        <v>0</v>
      </c>
      <c r="I240">
        <f>装備閲覧!N240</f>
        <v>8</v>
      </c>
      <c r="J240">
        <f>装備閲覧!O240</f>
        <v>0</v>
      </c>
      <c r="K240">
        <f>装備閲覧!P240</f>
        <v>8</v>
      </c>
      <c r="L240">
        <f>装備閲覧!R240</f>
        <v>3</v>
      </c>
      <c r="M240">
        <f>装備閲覧!S240</f>
        <v>0</v>
      </c>
      <c r="N240" t="str">
        <f>装備閲覧!T240</f>
        <v>無</v>
      </c>
      <c r="O240">
        <f>装備閲覧!AA240</f>
        <v>7</v>
      </c>
      <c r="P240" s="1">
        <f>IFERROR(IFERROR(VLOOKUP(C240,改修!A:B,2,0),_xlfn.NUMBERVALUE(VLOOKUP(C240,特殊改修値!C:D,2,0))),"×")</f>
        <v>3</v>
      </c>
      <c r="Q240" t="str">
        <f>IFERROR(VLOOKUP(C240,装備ボーナス!B:C,2,0),"×")</f>
        <v>×</v>
      </c>
      <c r="R240" t="str">
        <f>VLOOKUP(A240,wikiName!A:B,2,0)</f>
        <v>零式水上偵察機11型乙(熟練)</v>
      </c>
    </row>
    <row r="241" spans="1:18" x14ac:dyDescent="0.4">
      <c r="A241">
        <f>装備閲覧!B241</f>
        <v>240</v>
      </c>
      <c r="B241" t="str">
        <f>装備閲覧!C241</f>
        <v>小型電探</v>
      </c>
      <c r="C241" t="str">
        <f>装備閲覧!D241</f>
        <v>22号対水上電探改四(後期調整型)</v>
      </c>
      <c r="D241">
        <f>装備閲覧!H241</f>
        <v>11</v>
      </c>
      <c r="E241">
        <f>装備閲覧!J241</f>
        <v>1</v>
      </c>
      <c r="F241">
        <f>装備閲覧!K241</f>
        <v>0</v>
      </c>
      <c r="G241">
        <f>装備閲覧!L241</f>
        <v>0</v>
      </c>
      <c r="H241">
        <f>装備閲覧!M241</f>
        <v>0</v>
      </c>
      <c r="I241">
        <f>装備閲覧!N241</f>
        <v>2</v>
      </c>
      <c r="J241">
        <f>装備閲覧!O241</f>
        <v>0</v>
      </c>
      <c r="K241">
        <f>装備閲覧!P241</f>
        <v>7</v>
      </c>
      <c r="L241">
        <f>装備閲覧!R241</f>
        <v>9</v>
      </c>
      <c r="M241">
        <f>装備閲覧!S241</f>
        <v>0</v>
      </c>
      <c r="N241" t="str">
        <f>装備閲覧!T241</f>
        <v>無</v>
      </c>
      <c r="O241">
        <f>装備閲覧!AA241</f>
        <v>0</v>
      </c>
      <c r="P241" s="1" t="str">
        <f>IFERROR(IFERROR(VLOOKUP(C241,改修!A:B,2,0),_xlfn.NUMBERVALUE(VLOOKUP(C241,特殊改修値!C:D,2,0))),"×")</f>
        <v>×</v>
      </c>
      <c r="Q241" t="str">
        <f>IFERROR(VLOOKUP(C241,装備ボーナス!B:C,2,0),"×")</f>
        <v>×</v>
      </c>
      <c r="R241" t="str">
        <f>VLOOKUP(A241,wikiName!A:B,2,0)</f>
        <v>22号対水上電探改四(後期調整型)</v>
      </c>
    </row>
    <row r="242" spans="1:18" x14ac:dyDescent="0.4">
      <c r="A242">
        <f>装備閲覧!B242</f>
        <v>241</v>
      </c>
      <c r="B242" t="str">
        <f>装備閲覧!C242</f>
        <v>戦闘糧食</v>
      </c>
      <c r="C242" t="str">
        <f>装備閲覧!D242</f>
        <v>戦闘糧食(特別なおにぎり)</v>
      </c>
      <c r="D242">
        <f>装備閲覧!H242</f>
        <v>34</v>
      </c>
      <c r="E242">
        <f>装備閲覧!J242</f>
        <v>0</v>
      </c>
      <c r="F242">
        <f>装備閲覧!K242</f>
        <v>0</v>
      </c>
      <c r="G242">
        <f>装備閲覧!L242</f>
        <v>0</v>
      </c>
      <c r="H242">
        <f>装備閲覧!M242</f>
        <v>0</v>
      </c>
      <c r="I242">
        <f>装備閲覧!N242</f>
        <v>0</v>
      </c>
      <c r="J242">
        <f>装備閲覧!O242</f>
        <v>0</v>
      </c>
      <c r="K242">
        <f>装備閲覧!P242</f>
        <v>0</v>
      </c>
      <c r="L242">
        <f>装備閲覧!R242</f>
        <v>0</v>
      </c>
      <c r="M242">
        <f>装備閲覧!S242</f>
        <v>0</v>
      </c>
      <c r="N242" t="str">
        <f>装備閲覧!T242</f>
        <v>無</v>
      </c>
      <c r="O242">
        <f>装備閲覧!AA242</f>
        <v>0</v>
      </c>
      <c r="P242" s="1" t="str">
        <f>IFERROR(IFERROR(VLOOKUP(C242,改修!A:B,2,0),_xlfn.NUMBERVALUE(VLOOKUP(C242,特殊改修値!C:D,2,0))),"×")</f>
        <v>×</v>
      </c>
      <c r="Q242" t="str">
        <f>IFERROR(VLOOKUP(C242,装備ボーナス!B:C,2,0),"×")</f>
        <v>×</v>
      </c>
      <c r="R242" t="str">
        <f>VLOOKUP(A242,wikiName!A:B,2,0)</f>
        <v>戦闘糧食(特別なおにぎり)</v>
      </c>
    </row>
    <row r="243" spans="1:18" x14ac:dyDescent="0.4">
      <c r="A243">
        <f>装備閲覧!B243</f>
        <v>242</v>
      </c>
      <c r="B243" t="str">
        <f>装備閲覧!C243</f>
        <v>艦上攻撃機</v>
      </c>
      <c r="C243" t="str">
        <f>装備閲覧!D243</f>
        <v>Swordfish</v>
      </c>
      <c r="D243">
        <f>装備閲覧!H243</f>
        <v>8</v>
      </c>
      <c r="E243">
        <f>装備閲覧!J243</f>
        <v>2</v>
      </c>
      <c r="F243">
        <f>装備閲覧!K243</f>
        <v>3</v>
      </c>
      <c r="G243">
        <f>装備閲覧!L243</f>
        <v>0</v>
      </c>
      <c r="H243">
        <f>装備閲覧!M243</f>
        <v>0</v>
      </c>
      <c r="I243">
        <f>装備閲覧!N243</f>
        <v>4</v>
      </c>
      <c r="J243">
        <f>装備閲覧!O243</f>
        <v>0</v>
      </c>
      <c r="K243">
        <f>装備閲覧!P243</f>
        <v>1</v>
      </c>
      <c r="L243">
        <f>装備閲覧!R243</f>
        <v>1</v>
      </c>
      <c r="M243">
        <f>装備閲覧!S243</f>
        <v>0</v>
      </c>
      <c r="N243" t="str">
        <f>装備閲覧!T243</f>
        <v>無</v>
      </c>
      <c r="O243">
        <f>装備閲覧!AA243</f>
        <v>3</v>
      </c>
      <c r="P243" s="1" t="str">
        <f>IFERROR(IFERROR(VLOOKUP(C243,改修!A:B,2,0),_xlfn.NUMBERVALUE(VLOOKUP(C243,特殊改修値!C:D,2,0))),"×")</f>
        <v>〇</v>
      </c>
      <c r="Q243" t="str">
        <f>IFERROR(VLOOKUP(C243,装備ボーナス!B:C,2,0),"×")</f>
        <v>×</v>
      </c>
      <c r="R243" t="str">
        <f>VLOOKUP(A243,wikiName!A:B,2,0)</f>
        <v>Swordfish</v>
      </c>
    </row>
    <row r="244" spans="1:18" x14ac:dyDescent="0.4">
      <c r="A244">
        <f>装備閲覧!B244</f>
        <v>243</v>
      </c>
      <c r="B244" t="str">
        <f>装備閲覧!C244</f>
        <v>艦上攻撃機</v>
      </c>
      <c r="C244" t="str">
        <f>装備閲覧!D244</f>
        <v>Swordfish Mk.II(熟練)</v>
      </c>
      <c r="D244">
        <f>装備閲覧!H244</f>
        <v>8</v>
      </c>
      <c r="E244">
        <f>装備閲覧!J244</f>
        <v>3</v>
      </c>
      <c r="F244">
        <f>装備閲覧!K244</f>
        <v>5</v>
      </c>
      <c r="G244">
        <f>装備閲覧!L244</f>
        <v>0</v>
      </c>
      <c r="H244">
        <f>装備閲覧!M244</f>
        <v>0</v>
      </c>
      <c r="I244">
        <f>装備閲覧!N244</f>
        <v>6</v>
      </c>
      <c r="J244">
        <f>装備閲覧!O244</f>
        <v>0</v>
      </c>
      <c r="K244">
        <f>装備閲覧!P244</f>
        <v>2</v>
      </c>
      <c r="L244">
        <f>装備閲覧!R244</f>
        <v>3</v>
      </c>
      <c r="M244">
        <f>装備閲覧!S244</f>
        <v>0</v>
      </c>
      <c r="N244" t="str">
        <f>装備閲覧!T244</f>
        <v>無</v>
      </c>
      <c r="O244">
        <f>装備閲覧!AA244</f>
        <v>3</v>
      </c>
      <c r="P244" s="1" t="str">
        <f>IFERROR(IFERROR(VLOOKUP(C244,改修!A:B,2,0),_xlfn.NUMBERVALUE(VLOOKUP(C244,特殊改修値!C:D,2,0))),"×")</f>
        <v>×</v>
      </c>
      <c r="Q244" t="str">
        <f>IFERROR(VLOOKUP(C244,装備ボーナス!B:C,2,0),"×")</f>
        <v>×</v>
      </c>
      <c r="R244" t="str">
        <f>VLOOKUP(A244,wikiName!A:B,2,0)</f>
        <v>Swordfish Mk.II(熟練)</v>
      </c>
    </row>
    <row r="245" spans="1:18" x14ac:dyDescent="0.4">
      <c r="A245">
        <f>装備閲覧!B245</f>
        <v>244</v>
      </c>
      <c r="B245" t="str">
        <f>装備閲覧!C245</f>
        <v>艦上攻撃機</v>
      </c>
      <c r="C245" t="str">
        <f>装備閲覧!D245</f>
        <v>Swordfish Mk.III(熟練)</v>
      </c>
      <c r="D245">
        <f>装備閲覧!H245</f>
        <v>8</v>
      </c>
      <c r="E245">
        <f>装備閲覧!J245</f>
        <v>4</v>
      </c>
      <c r="F245">
        <f>装備閲覧!K245</f>
        <v>8</v>
      </c>
      <c r="G245">
        <f>装備閲覧!L245</f>
        <v>0</v>
      </c>
      <c r="H245">
        <f>装備閲覧!M245</f>
        <v>0</v>
      </c>
      <c r="I245">
        <f>装備閲覧!N245</f>
        <v>10</v>
      </c>
      <c r="J245">
        <f>装備閲覧!O245</f>
        <v>0</v>
      </c>
      <c r="K245">
        <f>装備閲覧!P245</f>
        <v>5</v>
      </c>
      <c r="L245">
        <f>装備閲覧!R245</f>
        <v>4</v>
      </c>
      <c r="M245">
        <f>装備閲覧!S245</f>
        <v>0</v>
      </c>
      <c r="N245" t="str">
        <f>装備閲覧!T245</f>
        <v>無</v>
      </c>
      <c r="O245">
        <f>装備閲覧!AA245</f>
        <v>3</v>
      </c>
      <c r="P245" s="1" t="str">
        <f>IFERROR(IFERROR(VLOOKUP(C245,改修!A:B,2,0),_xlfn.NUMBERVALUE(VLOOKUP(C245,特殊改修値!C:D,2,0))),"×")</f>
        <v>×</v>
      </c>
      <c r="Q245" t="str">
        <f>IFERROR(VLOOKUP(C245,装備ボーナス!B:C,2,0),"×")</f>
        <v>×</v>
      </c>
      <c r="R245" t="str">
        <f>VLOOKUP(A245,wikiName!A:B,2,0)</f>
        <v>Swordfish Mk.III(熟練)</v>
      </c>
    </row>
    <row r="246" spans="1:18" x14ac:dyDescent="0.4">
      <c r="A246">
        <f>装備閲覧!B246</f>
        <v>245</v>
      </c>
      <c r="B246" t="str">
        <f>装備閲覧!C246</f>
        <v>大口径主砲</v>
      </c>
      <c r="C246" t="str">
        <f>装備閲覧!D246</f>
        <v>38cm四連装砲</v>
      </c>
      <c r="D246">
        <f>装備閲覧!H246</f>
        <v>3</v>
      </c>
      <c r="E246">
        <f>装備閲覧!J246</f>
        <v>21</v>
      </c>
      <c r="F246">
        <f>装備閲覧!K246</f>
        <v>0</v>
      </c>
      <c r="G246">
        <f>装備閲覧!L246</f>
        <v>1</v>
      </c>
      <c r="H246">
        <f>装備閲覧!M246</f>
        <v>0</v>
      </c>
      <c r="I246">
        <f>装備閲覧!N246</f>
        <v>0</v>
      </c>
      <c r="J246">
        <f>装備閲覧!O246</f>
        <v>0</v>
      </c>
      <c r="K246">
        <f>装備閲覧!P246</f>
        <v>0</v>
      </c>
      <c r="L246">
        <f>装備閲覧!R246</f>
        <v>1</v>
      </c>
      <c r="M246">
        <f>装備閲覧!S246</f>
        <v>0</v>
      </c>
      <c r="N246" t="str">
        <f>装備閲覧!T246</f>
        <v>長</v>
      </c>
      <c r="O246">
        <f>装備閲覧!AA246</f>
        <v>0</v>
      </c>
      <c r="P246" s="1" t="str">
        <f>IFERROR(IFERROR(VLOOKUP(C246,改修!A:B,2,0),_xlfn.NUMBERVALUE(VLOOKUP(C246,特殊改修値!C:D,2,0))),"×")</f>
        <v>〇</v>
      </c>
      <c r="Q246" t="str">
        <f>IFERROR(VLOOKUP(C246,装備ボーナス!B:C,2,0),"×")</f>
        <v>×</v>
      </c>
      <c r="R246" t="str">
        <f>VLOOKUP(A246,wikiName!A:B,2,0)</f>
        <v>38cm四連装砲</v>
      </c>
    </row>
    <row r="247" spans="1:18" x14ac:dyDescent="0.4">
      <c r="A247">
        <f>装備閲覧!B247</f>
        <v>246</v>
      </c>
      <c r="B247" t="str">
        <f>装備閲覧!C247</f>
        <v>大口径主砲</v>
      </c>
      <c r="C247" t="str">
        <f>装備閲覧!D247</f>
        <v>38cm四連装砲改</v>
      </c>
      <c r="D247">
        <f>装備閲覧!H247</f>
        <v>3</v>
      </c>
      <c r="E247">
        <f>装備閲覧!J247</f>
        <v>22</v>
      </c>
      <c r="F247">
        <f>装備閲覧!K247</f>
        <v>0</v>
      </c>
      <c r="G247">
        <f>装備閲覧!L247</f>
        <v>2</v>
      </c>
      <c r="H247">
        <f>装備閲覧!M247</f>
        <v>1</v>
      </c>
      <c r="I247">
        <f>装備閲覧!N247</f>
        <v>0</v>
      </c>
      <c r="J247">
        <f>装備閲覧!O247</f>
        <v>0</v>
      </c>
      <c r="K247">
        <f>装備閲覧!P247</f>
        <v>0</v>
      </c>
      <c r="L247">
        <f>装備閲覧!R247</f>
        <v>3</v>
      </c>
      <c r="M247">
        <f>装備閲覧!S247</f>
        <v>0</v>
      </c>
      <c r="N247" t="str">
        <f>装備閲覧!T247</f>
        <v>中</v>
      </c>
      <c r="O247">
        <f>装備閲覧!AA247</f>
        <v>0</v>
      </c>
      <c r="P247" s="1" t="str">
        <f>IFERROR(IFERROR(VLOOKUP(C247,改修!A:B,2,0),_xlfn.NUMBERVALUE(VLOOKUP(C247,特殊改修値!C:D,2,0))),"×")</f>
        <v>〇</v>
      </c>
      <c r="Q247" t="str">
        <f>IFERROR(VLOOKUP(C247,装備ボーナス!B:C,2,0),"×")</f>
        <v>×</v>
      </c>
      <c r="R247" t="str">
        <f>VLOOKUP(A247,wikiName!A:B,2,0)</f>
        <v>38cm四連装砲改</v>
      </c>
    </row>
    <row r="248" spans="1:18" x14ac:dyDescent="0.4">
      <c r="A248">
        <f>装備閲覧!B248</f>
        <v>247</v>
      </c>
      <c r="B248" t="str">
        <f>装備閲覧!C248</f>
        <v>副砲</v>
      </c>
      <c r="C248" t="str">
        <f>装備閲覧!D248</f>
        <v>15.2cm三連装砲</v>
      </c>
      <c r="D248">
        <f>装備閲覧!H248</f>
        <v>4</v>
      </c>
      <c r="E248">
        <f>装備閲覧!J248</f>
        <v>6</v>
      </c>
      <c r="F248">
        <f>装備閲覧!K248</f>
        <v>0</v>
      </c>
      <c r="G248">
        <f>装備閲覧!L248</f>
        <v>1</v>
      </c>
      <c r="H248">
        <f>装備閲覧!M248</f>
        <v>0</v>
      </c>
      <c r="I248">
        <f>装備閲覧!N248</f>
        <v>0</v>
      </c>
      <c r="J248">
        <f>装備閲覧!O248</f>
        <v>0</v>
      </c>
      <c r="K248">
        <f>装備閲覧!P248</f>
        <v>0</v>
      </c>
      <c r="L248">
        <f>装備閲覧!R248</f>
        <v>3</v>
      </c>
      <c r="M248">
        <f>装備閲覧!S248</f>
        <v>0</v>
      </c>
      <c r="N248" t="str">
        <f>装備閲覧!T248</f>
        <v>中</v>
      </c>
      <c r="O248">
        <f>装備閲覧!AA248</f>
        <v>0</v>
      </c>
      <c r="P248" s="1" t="str">
        <f>IFERROR(IFERROR(VLOOKUP(C248,改修!A:B,2,0),_xlfn.NUMBERVALUE(VLOOKUP(C248,特殊改修値!C:D,2,0))),"×")</f>
        <v>〇</v>
      </c>
      <c r="Q248" t="str">
        <f>IFERROR(VLOOKUP(C248,装備ボーナス!B:C,2,0),"×")</f>
        <v>×</v>
      </c>
      <c r="R248" t="str">
        <f>VLOOKUP(A248,wikiName!A:B,2,0)</f>
        <v>15.2cm三連装砲</v>
      </c>
    </row>
    <row r="249" spans="1:18" x14ac:dyDescent="0.4">
      <c r="A249">
        <f>装備閲覧!B249</f>
        <v>248</v>
      </c>
      <c r="B249" t="str">
        <f>装備閲覧!C249</f>
        <v>艦上爆撃機</v>
      </c>
      <c r="C249" t="str">
        <f>装備閲覧!D249</f>
        <v>Skua</v>
      </c>
      <c r="D249">
        <f>装備閲覧!H249</f>
        <v>7</v>
      </c>
      <c r="E249">
        <f>装備閲覧!J249</f>
        <v>0</v>
      </c>
      <c r="F249">
        <f>装備閲覧!K249</f>
        <v>0</v>
      </c>
      <c r="G249">
        <f>装備閲覧!L249</f>
        <v>2</v>
      </c>
      <c r="H249">
        <f>装備閲覧!M249</f>
        <v>0</v>
      </c>
      <c r="I249">
        <f>装備閲覧!N249</f>
        <v>2</v>
      </c>
      <c r="J249">
        <f>装備閲覧!O249</f>
        <v>2</v>
      </c>
      <c r="K249">
        <f>装備閲覧!P249</f>
        <v>0</v>
      </c>
      <c r="L249">
        <f>装備閲覧!R249</f>
        <v>0</v>
      </c>
      <c r="M249">
        <f>装備閲覧!S249</f>
        <v>4</v>
      </c>
      <c r="N249" t="str">
        <f>装備閲覧!T249</f>
        <v>無</v>
      </c>
      <c r="O249">
        <f>装備閲覧!AA249</f>
        <v>4</v>
      </c>
      <c r="P249" s="1" t="str">
        <f>IFERROR(IFERROR(VLOOKUP(C249,改修!A:B,2,0),_xlfn.NUMBERVALUE(VLOOKUP(C249,特殊改修値!C:D,2,0))),"×")</f>
        <v>〇</v>
      </c>
      <c r="Q249" t="str">
        <f>IFERROR(VLOOKUP(C249,装備ボーナス!B:C,2,0),"×")</f>
        <v>×</v>
      </c>
      <c r="R249" t="str">
        <f>VLOOKUP(A249,wikiName!A:B,2,0)</f>
        <v>Skua</v>
      </c>
    </row>
    <row r="250" spans="1:18" x14ac:dyDescent="0.4">
      <c r="A250">
        <f>装備閲覧!B250</f>
        <v>249</v>
      </c>
      <c r="B250" t="str">
        <f>装備閲覧!C250</f>
        <v>艦上戦闘機</v>
      </c>
      <c r="C250" t="str">
        <f>装備閲覧!D250</f>
        <v>Fulmar</v>
      </c>
      <c r="D250">
        <f>装備閲覧!H250</f>
        <v>6</v>
      </c>
      <c r="E250">
        <f>装備閲覧!J250</f>
        <v>1</v>
      </c>
      <c r="F250">
        <f>装備閲覧!K250</f>
        <v>0</v>
      </c>
      <c r="G250">
        <f>装備閲覧!L250</f>
        <v>3</v>
      </c>
      <c r="H250">
        <f>装備閲覧!M250</f>
        <v>0</v>
      </c>
      <c r="I250">
        <f>装備閲覧!N250</f>
        <v>2</v>
      </c>
      <c r="J250">
        <f>装備閲覧!O250</f>
        <v>1</v>
      </c>
      <c r="K250">
        <f>装備閲覧!P250</f>
        <v>1</v>
      </c>
      <c r="L250">
        <f>装備閲覧!R250</f>
        <v>2</v>
      </c>
      <c r="M250">
        <f>装備閲覧!S250</f>
        <v>0</v>
      </c>
      <c r="N250" t="str">
        <f>装備閲覧!T250</f>
        <v>無</v>
      </c>
      <c r="O250">
        <f>装備閲覧!AA250</f>
        <v>4</v>
      </c>
      <c r="P250" s="1" t="str">
        <f>IFERROR(IFERROR(VLOOKUP(C250,改修!A:B,2,0),_xlfn.NUMBERVALUE(VLOOKUP(C250,特殊改修値!C:D,2,0))),"×")</f>
        <v>×</v>
      </c>
      <c r="Q250" t="str">
        <f>IFERROR(VLOOKUP(C250,装備ボーナス!B:C,2,0),"×")</f>
        <v>×</v>
      </c>
      <c r="R250" t="str">
        <f>VLOOKUP(A250,wikiName!A:B,2,0)</f>
        <v>Fulmar</v>
      </c>
    </row>
    <row r="251" spans="1:18" x14ac:dyDescent="0.4">
      <c r="A251">
        <f>装備閲覧!B251</f>
        <v>250</v>
      </c>
      <c r="B251" t="str">
        <f>装備閲覧!C251</f>
        <v>局地戦闘機</v>
      </c>
      <c r="C251" t="str">
        <f>装備閲覧!D251</f>
        <v>Spitfire Mk.I</v>
      </c>
      <c r="D251">
        <f>装備閲覧!H251</f>
        <v>44</v>
      </c>
      <c r="E251">
        <f>装備閲覧!J251</f>
        <v>1</v>
      </c>
      <c r="F251">
        <f>装備閲覧!K251</f>
        <v>0</v>
      </c>
      <c r="G251">
        <f>装備閲覧!L251</f>
        <v>7</v>
      </c>
      <c r="H251">
        <f>装備閲覧!M251</f>
        <v>0</v>
      </c>
      <c r="I251">
        <f>装備閲覧!N251</f>
        <v>0</v>
      </c>
      <c r="J251">
        <f>装備閲覧!O251</f>
        <v>1</v>
      </c>
      <c r="K251">
        <f>装備閲覧!P251</f>
        <v>0</v>
      </c>
      <c r="L251">
        <f>装備閲覧!R251</f>
        <v>2</v>
      </c>
      <c r="M251">
        <f>装備閲覧!S251</f>
        <v>0</v>
      </c>
      <c r="N251" t="str">
        <f>装備閲覧!T251</f>
        <v>無</v>
      </c>
      <c r="O251">
        <f>装備閲覧!AA251</f>
        <v>4</v>
      </c>
      <c r="P251" s="1" t="str">
        <f>IFERROR(IFERROR(VLOOKUP(C251,改修!A:B,2,0),_xlfn.NUMBERVALUE(VLOOKUP(C251,特殊改修値!C:D,2,0))),"×")</f>
        <v>〇</v>
      </c>
      <c r="Q251" t="str">
        <f>IFERROR(VLOOKUP(C251,装備ボーナス!B:C,2,0),"×")</f>
        <v>×</v>
      </c>
      <c r="R251" t="str">
        <f>VLOOKUP(A251,wikiName!A:B,2,0)</f>
        <v>Spitfire Mk.I</v>
      </c>
    </row>
    <row r="252" spans="1:18" x14ac:dyDescent="0.4">
      <c r="A252">
        <f>装備閲覧!B252</f>
        <v>251</v>
      </c>
      <c r="B252" t="str">
        <f>装備閲覧!C252</f>
        <v>局地戦闘機</v>
      </c>
      <c r="C252" t="str">
        <f>装備閲覧!D252</f>
        <v>Spitfire Mk.V</v>
      </c>
      <c r="D252">
        <f>装備閲覧!H252</f>
        <v>44</v>
      </c>
      <c r="E252">
        <f>装備閲覧!J252</f>
        <v>1</v>
      </c>
      <c r="F252">
        <f>装備閲覧!K252</f>
        <v>0</v>
      </c>
      <c r="G252">
        <f>装備閲覧!L252</f>
        <v>9</v>
      </c>
      <c r="H252">
        <f>装備閲覧!M252</f>
        <v>0</v>
      </c>
      <c r="I252">
        <f>装備閲覧!N252</f>
        <v>0</v>
      </c>
      <c r="J252">
        <f>装備閲覧!O252</f>
        <v>2</v>
      </c>
      <c r="K252">
        <f>装備閲覧!P252</f>
        <v>0</v>
      </c>
      <c r="L252">
        <f>装備閲覧!R252</f>
        <v>3</v>
      </c>
      <c r="M252">
        <f>装備閲覧!S252</f>
        <v>0</v>
      </c>
      <c r="N252" t="str">
        <f>装備閲覧!T252</f>
        <v>無</v>
      </c>
      <c r="O252">
        <f>装備閲覧!AA252</f>
        <v>5</v>
      </c>
      <c r="P252" s="1" t="str">
        <f>IFERROR(IFERROR(VLOOKUP(C252,改修!A:B,2,0),_xlfn.NUMBERVALUE(VLOOKUP(C252,特殊改修値!C:D,2,0))),"×")</f>
        <v>×</v>
      </c>
      <c r="Q252" t="str">
        <f>IFERROR(VLOOKUP(C252,装備ボーナス!B:C,2,0),"×")</f>
        <v>×</v>
      </c>
      <c r="R252" t="str">
        <f>VLOOKUP(A252,wikiName!A:B,2,0)</f>
        <v>Spitfire Mk.V</v>
      </c>
    </row>
    <row r="253" spans="1:18" x14ac:dyDescent="0.4">
      <c r="A253">
        <f>装備閲覧!B253</f>
        <v>252</v>
      </c>
      <c r="B253" t="str">
        <f>装備閲覧!C253</f>
        <v>艦上戦闘機</v>
      </c>
      <c r="C253" t="str">
        <f>装備閲覧!D253</f>
        <v>Seafire Mk.III改</v>
      </c>
      <c r="D253">
        <f>装備閲覧!H253</f>
        <v>6</v>
      </c>
      <c r="E253">
        <f>装備閲覧!J253</f>
        <v>1</v>
      </c>
      <c r="F253">
        <f>装備閲覧!K253</f>
        <v>0</v>
      </c>
      <c r="G253">
        <f>装備閲覧!L253</f>
        <v>9</v>
      </c>
      <c r="H253">
        <f>装備閲覧!M253</f>
        <v>1</v>
      </c>
      <c r="I253">
        <f>装備閲覧!N253</f>
        <v>0</v>
      </c>
      <c r="J253">
        <f>装備閲覧!O253</f>
        <v>2</v>
      </c>
      <c r="K253">
        <f>装備閲覧!P253</f>
        <v>0</v>
      </c>
      <c r="L253">
        <f>装備閲覧!R253</f>
        <v>1</v>
      </c>
      <c r="M253">
        <f>装備閲覧!S253</f>
        <v>0</v>
      </c>
      <c r="N253" t="str">
        <f>装備閲覧!T253</f>
        <v>無</v>
      </c>
      <c r="O253">
        <f>装備閲覧!AA253</f>
        <v>4</v>
      </c>
      <c r="P253" s="1" t="str">
        <f>IFERROR(IFERROR(VLOOKUP(C253,改修!A:B,2,0),_xlfn.NUMBERVALUE(VLOOKUP(C253,特殊改修値!C:D,2,0))),"×")</f>
        <v>×</v>
      </c>
      <c r="Q253" t="str">
        <f>IFERROR(VLOOKUP(C253,装備ボーナス!B:C,2,0),"×")</f>
        <v>×</v>
      </c>
      <c r="R253" t="str">
        <f>VLOOKUP(A253,wikiName!A:B,2,0)</f>
        <v>Seafire Mk.III改</v>
      </c>
    </row>
    <row r="254" spans="1:18" x14ac:dyDescent="0.4">
      <c r="A254">
        <f>装備閲覧!B254</f>
        <v>253</v>
      </c>
      <c r="B254" t="str">
        <f>装備閲覧!C254</f>
        <v>局地戦闘機</v>
      </c>
      <c r="C254" t="str">
        <f>装備閲覧!D254</f>
        <v>Spitfire Mk.IX(熟練)</v>
      </c>
      <c r="D254">
        <f>装備閲覧!H254</f>
        <v>44</v>
      </c>
      <c r="E254">
        <f>装備閲覧!J254</f>
        <v>1</v>
      </c>
      <c r="F254">
        <f>装備閲覧!K254</f>
        <v>0</v>
      </c>
      <c r="G254">
        <f>装備閲覧!L254</f>
        <v>10</v>
      </c>
      <c r="H254">
        <f>装備閲覧!M254</f>
        <v>0</v>
      </c>
      <c r="I254">
        <f>装備閲覧!N254</f>
        <v>0</v>
      </c>
      <c r="J254">
        <f>装備閲覧!O254</f>
        <v>4</v>
      </c>
      <c r="K254">
        <f>装備閲覧!P254</f>
        <v>0</v>
      </c>
      <c r="L254">
        <f>装備閲覧!R254</f>
        <v>2</v>
      </c>
      <c r="M254">
        <f>装備閲覧!S254</f>
        <v>0</v>
      </c>
      <c r="N254" t="str">
        <f>装備閲覧!T254</f>
        <v>無</v>
      </c>
      <c r="O254">
        <f>装備閲覧!AA254</f>
        <v>4</v>
      </c>
      <c r="P254" s="1" t="str">
        <f>IFERROR(IFERROR(VLOOKUP(C254,改修!A:B,2,0),_xlfn.NUMBERVALUE(VLOOKUP(C254,特殊改修値!C:D,2,0))),"×")</f>
        <v>×</v>
      </c>
      <c r="Q254" t="str">
        <f>IFERROR(VLOOKUP(C254,装備ボーナス!B:C,2,0),"×")</f>
        <v>×</v>
      </c>
      <c r="R254" t="str">
        <f>VLOOKUP(A254,wikiName!A:B,2,0)</f>
        <v>Spitfire Mk.IX(熟練)</v>
      </c>
    </row>
    <row r="255" spans="1:18" x14ac:dyDescent="0.4">
      <c r="A255">
        <f>装備閲覧!B255</f>
        <v>254</v>
      </c>
      <c r="B255" t="str">
        <f>装備閲覧!C255</f>
        <v>艦上戦闘機</v>
      </c>
      <c r="C255" t="str">
        <f>装備閲覧!D255</f>
        <v>F6F-3N</v>
      </c>
      <c r="D255">
        <f>装備閲覧!H255</f>
        <v>45</v>
      </c>
      <c r="E255">
        <f>装備閲覧!J255</f>
        <v>0</v>
      </c>
      <c r="F255">
        <f>装備閲覧!K255</f>
        <v>0</v>
      </c>
      <c r="G255">
        <f>装備閲覧!L255</f>
        <v>8</v>
      </c>
      <c r="H255">
        <f>装備閲覧!M255</f>
        <v>0</v>
      </c>
      <c r="I255">
        <f>装備閲覧!N255</f>
        <v>4</v>
      </c>
      <c r="J255">
        <f>装備閲覧!O255</f>
        <v>3</v>
      </c>
      <c r="K255">
        <f>装備閲覧!P255</f>
        <v>2</v>
      </c>
      <c r="L255">
        <f>装備閲覧!R255</f>
        <v>2</v>
      </c>
      <c r="M255">
        <f>装備閲覧!S255</f>
        <v>0</v>
      </c>
      <c r="N255" t="str">
        <f>装備閲覧!T255</f>
        <v>無</v>
      </c>
      <c r="O255">
        <f>装備閲覧!AA255</f>
        <v>5</v>
      </c>
      <c r="P255" s="1" t="str">
        <f>IFERROR(IFERROR(VLOOKUP(C255,改修!A:B,2,0),_xlfn.NUMBERVALUE(VLOOKUP(C255,特殊改修値!C:D,2,0))),"×")</f>
        <v>×</v>
      </c>
      <c r="Q255" t="str">
        <f>IFERROR(VLOOKUP(C255,装備ボーナス!B:C,2,0),"×")</f>
        <v>×</v>
      </c>
      <c r="R255" t="str">
        <f>VLOOKUP(A255,wikiName!A:B,2,0)</f>
        <v>F6F-3N</v>
      </c>
    </row>
    <row r="256" spans="1:18" x14ac:dyDescent="0.4">
      <c r="A256">
        <f>装備閲覧!B256</f>
        <v>255</v>
      </c>
      <c r="B256" t="str">
        <f>装備閲覧!C256</f>
        <v>艦上戦闘機</v>
      </c>
      <c r="C256" t="str">
        <f>装備閲覧!D256</f>
        <v>F6F-5N</v>
      </c>
      <c r="D256">
        <f>装備閲覧!H256</f>
        <v>45</v>
      </c>
      <c r="E256">
        <f>装備閲覧!J256</f>
        <v>0</v>
      </c>
      <c r="F256">
        <f>装備閲覧!K256</f>
        <v>0</v>
      </c>
      <c r="G256">
        <f>装備閲覧!L256</f>
        <v>10</v>
      </c>
      <c r="H256">
        <f>装備閲覧!M256</f>
        <v>0</v>
      </c>
      <c r="I256">
        <f>装備閲覧!N256</f>
        <v>5</v>
      </c>
      <c r="J256">
        <f>装備閲覧!O256</f>
        <v>3</v>
      </c>
      <c r="K256">
        <f>装備閲覧!P256</f>
        <v>3</v>
      </c>
      <c r="L256">
        <f>装備閲覧!R256</f>
        <v>3</v>
      </c>
      <c r="M256">
        <f>装備閲覧!S256</f>
        <v>0</v>
      </c>
      <c r="N256" t="str">
        <f>装備閲覧!T256</f>
        <v>無</v>
      </c>
      <c r="O256">
        <f>装備閲覧!AA256</f>
        <v>5</v>
      </c>
      <c r="P256" s="1" t="str">
        <f>IFERROR(IFERROR(VLOOKUP(C256,改修!A:B,2,0),_xlfn.NUMBERVALUE(VLOOKUP(C256,特殊改修値!C:D,2,0))),"×")</f>
        <v>×</v>
      </c>
      <c r="Q256" t="str">
        <f>IFERROR(VLOOKUP(C256,装備ボーナス!B:C,2,0),"×")</f>
        <v>×</v>
      </c>
      <c r="R256" t="str">
        <f>VLOOKUP(A256,wikiName!A:B,2,0)</f>
        <v>F6F-5N</v>
      </c>
    </row>
    <row r="257" spans="1:18" x14ac:dyDescent="0.4">
      <c r="A257">
        <f>装備閲覧!B257</f>
        <v>256</v>
      </c>
      <c r="B257" t="str">
        <f>装備閲覧!C257</f>
        <v>艦上攻撃機</v>
      </c>
      <c r="C257" t="str">
        <f>装備閲覧!D257</f>
        <v>TBF</v>
      </c>
      <c r="D257">
        <f>装備閲覧!H257</f>
        <v>8</v>
      </c>
      <c r="E257">
        <f>装備閲覧!J257</f>
        <v>2</v>
      </c>
      <c r="F257">
        <f>装備閲覧!K257</f>
        <v>9</v>
      </c>
      <c r="G257">
        <f>装備閲覧!L257</f>
        <v>1</v>
      </c>
      <c r="H257">
        <f>装備閲覧!M257</f>
        <v>0</v>
      </c>
      <c r="I257">
        <f>装備閲覧!N257</f>
        <v>6</v>
      </c>
      <c r="J257">
        <f>装備閲覧!O257</f>
        <v>0</v>
      </c>
      <c r="K257">
        <f>装備閲覧!P257</f>
        <v>2</v>
      </c>
      <c r="L257">
        <f>装備閲覧!R257</f>
        <v>0</v>
      </c>
      <c r="M257">
        <f>装備閲覧!S257</f>
        <v>0</v>
      </c>
      <c r="N257" t="str">
        <f>装備閲覧!T257</f>
        <v>無</v>
      </c>
      <c r="O257">
        <f>装備閲覧!AA257</f>
        <v>6</v>
      </c>
      <c r="P257" s="1">
        <f>IFERROR(IFERROR(VLOOKUP(C257,改修!A:B,2,0),_xlfn.NUMBERVALUE(VLOOKUP(C257,特殊改修値!C:D,2,0))),"×")</f>
        <v>4</v>
      </c>
      <c r="Q257" t="str">
        <f>IFERROR(VLOOKUP(C257,装備ボーナス!B:C,2,0),"×")</f>
        <v>×</v>
      </c>
      <c r="R257" t="str">
        <f>VLOOKUP(A257,wikiName!A:B,2,0)</f>
        <v>TBF</v>
      </c>
    </row>
    <row r="258" spans="1:18" x14ac:dyDescent="0.4">
      <c r="A258">
        <f>装備閲覧!B258</f>
        <v>257</v>
      </c>
      <c r="B258" t="str">
        <f>装備閲覧!C258</f>
        <v>艦上攻撃機</v>
      </c>
      <c r="C258" t="str">
        <f>装備閲覧!D258</f>
        <v>TBM-3D</v>
      </c>
      <c r="D258">
        <f>装備閲覧!H258</f>
        <v>46</v>
      </c>
      <c r="E258">
        <f>装備閲覧!J258</f>
        <v>2</v>
      </c>
      <c r="F258">
        <f>装備閲覧!K258</f>
        <v>9</v>
      </c>
      <c r="G258">
        <f>装備閲覧!L258</f>
        <v>1</v>
      </c>
      <c r="H258">
        <f>装備閲覧!M258</f>
        <v>0</v>
      </c>
      <c r="I258">
        <f>装備閲覧!N258</f>
        <v>8</v>
      </c>
      <c r="J258">
        <f>装備閲覧!O258</f>
        <v>0</v>
      </c>
      <c r="K258">
        <f>装備閲覧!P258</f>
        <v>4</v>
      </c>
      <c r="L258">
        <f>装備閲覧!R258</f>
        <v>2</v>
      </c>
      <c r="M258">
        <f>装備閲覧!S258</f>
        <v>0</v>
      </c>
      <c r="N258" t="str">
        <f>装備閲覧!T258</f>
        <v>無</v>
      </c>
      <c r="O258">
        <f>装備閲覧!AA258</f>
        <v>6</v>
      </c>
      <c r="P258" s="1" t="str">
        <f>IFERROR(IFERROR(VLOOKUP(C258,改修!A:B,2,0),_xlfn.NUMBERVALUE(VLOOKUP(C258,特殊改修値!C:D,2,0))),"×")</f>
        <v>×</v>
      </c>
      <c r="Q258" t="str">
        <f>IFERROR(VLOOKUP(C258,装備ボーナス!B:C,2,0),"×")</f>
        <v>×</v>
      </c>
      <c r="R258" t="str">
        <f>VLOOKUP(A258,wikiName!A:B,2,0)</f>
        <v>TBM-3D</v>
      </c>
    </row>
    <row r="259" spans="1:18" x14ac:dyDescent="0.4">
      <c r="A259">
        <f>装備閲覧!B259</f>
        <v>258</v>
      </c>
      <c r="B259" t="str">
        <f>装備閲覧!C259</f>
        <v>航空要員</v>
      </c>
      <c r="C259" t="str">
        <f>装備閲覧!D259</f>
        <v>夜間作戦航空要員</v>
      </c>
      <c r="D259">
        <f>装備閲覧!H259</f>
        <v>29</v>
      </c>
      <c r="E259">
        <f>装備閲覧!J259</f>
        <v>1</v>
      </c>
      <c r="F259">
        <f>装備閲覧!K259</f>
        <v>0</v>
      </c>
      <c r="G259">
        <f>装備閲覧!L259</f>
        <v>0</v>
      </c>
      <c r="H259">
        <f>装備閲覧!M259</f>
        <v>1</v>
      </c>
      <c r="I259">
        <f>装備閲覧!N259</f>
        <v>0</v>
      </c>
      <c r="J259">
        <f>装備閲覧!O259</f>
        <v>0</v>
      </c>
      <c r="K259">
        <f>装備閲覧!P259</f>
        <v>0</v>
      </c>
      <c r="L259">
        <f>装備閲覧!R259</f>
        <v>0</v>
      </c>
      <c r="M259">
        <f>装備閲覧!S259</f>
        <v>0</v>
      </c>
      <c r="N259" t="str">
        <f>装備閲覧!T259</f>
        <v>中</v>
      </c>
      <c r="O259">
        <f>装備閲覧!AA259</f>
        <v>0</v>
      </c>
      <c r="P259" s="1" t="str">
        <f>IFERROR(IFERROR(VLOOKUP(C259,改修!A:B,2,0),_xlfn.NUMBERVALUE(VLOOKUP(C259,特殊改修値!C:D,2,0))),"×")</f>
        <v>×</v>
      </c>
      <c r="Q259" t="str">
        <f>IFERROR(VLOOKUP(C259,装備ボーナス!B:C,2,0),"×")</f>
        <v>×</v>
      </c>
      <c r="R259" t="str">
        <f>VLOOKUP(A259,wikiName!A:B,2,0)</f>
        <v>夜間作戦航空要員</v>
      </c>
    </row>
    <row r="260" spans="1:18" x14ac:dyDescent="0.4">
      <c r="A260">
        <f>装備閲覧!B260</f>
        <v>259</v>
      </c>
      <c r="B260" t="str">
        <f>装備閲覧!C260</f>
        <v>航空要員</v>
      </c>
      <c r="C260" t="str">
        <f>装備閲覧!D260</f>
        <v>夜間作戦航空要員+熟練甲板員</v>
      </c>
      <c r="D260">
        <f>装備閲覧!H260</f>
        <v>29</v>
      </c>
      <c r="E260">
        <f>装備閲覧!J260</f>
        <v>3</v>
      </c>
      <c r="F260">
        <f>装備閲覧!K260</f>
        <v>0</v>
      </c>
      <c r="G260">
        <f>装備閲覧!L260</f>
        <v>0</v>
      </c>
      <c r="H260">
        <f>装備閲覧!M260</f>
        <v>1</v>
      </c>
      <c r="I260">
        <f>装備閲覧!N260</f>
        <v>0</v>
      </c>
      <c r="J260">
        <f>装備閲覧!O260</f>
        <v>1</v>
      </c>
      <c r="K260">
        <f>装備閲覧!P260</f>
        <v>0</v>
      </c>
      <c r="L260">
        <f>装備閲覧!R260</f>
        <v>2</v>
      </c>
      <c r="M260">
        <f>装備閲覧!S260</f>
        <v>0</v>
      </c>
      <c r="N260" t="str">
        <f>装備閲覧!T260</f>
        <v>長</v>
      </c>
      <c r="O260">
        <f>装備閲覧!AA260</f>
        <v>0</v>
      </c>
      <c r="P260" s="1" t="str">
        <f>IFERROR(IFERROR(VLOOKUP(C260,改修!A:B,2,0),_xlfn.NUMBERVALUE(VLOOKUP(C260,特殊改修値!C:D,2,0))),"×")</f>
        <v>×</v>
      </c>
      <c r="Q260" t="str">
        <f>IFERROR(VLOOKUP(C260,装備ボーナス!B:C,2,0),"×")</f>
        <v>×</v>
      </c>
      <c r="R260" t="str">
        <f>VLOOKUP(A260,wikiName!A:B,2,0)</f>
        <v>夜間作戦航空要員＋熟練甲板員</v>
      </c>
    </row>
    <row r="261" spans="1:18" x14ac:dyDescent="0.4">
      <c r="A261">
        <f>装備閲覧!B261</f>
        <v>260</v>
      </c>
      <c r="B261" t="str">
        <f>装備閲覧!C261</f>
        <v>ソナー</v>
      </c>
      <c r="C261" t="str">
        <f>装備閲覧!D261</f>
        <v>Type124 ASDIC</v>
      </c>
      <c r="D261">
        <f>装備閲覧!H261</f>
        <v>18</v>
      </c>
      <c r="E261">
        <f>装備閲覧!J261</f>
        <v>0</v>
      </c>
      <c r="F261">
        <f>装備閲覧!K261</f>
        <v>0</v>
      </c>
      <c r="G261">
        <f>装備閲覧!L261</f>
        <v>0</v>
      </c>
      <c r="H261">
        <f>装備閲覧!M261</f>
        <v>0</v>
      </c>
      <c r="I261">
        <f>装備閲覧!N261</f>
        <v>11</v>
      </c>
      <c r="J261">
        <f>装備閲覧!O261</f>
        <v>1</v>
      </c>
      <c r="K261">
        <f>装備閲覧!P261</f>
        <v>0</v>
      </c>
      <c r="L261">
        <f>装備閲覧!R261</f>
        <v>2</v>
      </c>
      <c r="M261">
        <f>装備閲覧!S261</f>
        <v>0</v>
      </c>
      <c r="N261" t="str">
        <f>装備閲覧!T261</f>
        <v>無</v>
      </c>
      <c r="O261">
        <f>装備閲覧!AA261</f>
        <v>0</v>
      </c>
      <c r="P261" s="1" t="str">
        <f>IFERROR(IFERROR(VLOOKUP(C261,改修!A:B,2,0),_xlfn.NUMBERVALUE(VLOOKUP(C261,特殊改修値!C:D,2,0))),"×")</f>
        <v>×</v>
      </c>
      <c r="Q261" t="str">
        <f>IFERROR(VLOOKUP(C261,装備ボーナス!B:C,2,0),"×")</f>
        <v>×</v>
      </c>
      <c r="R261" t="str">
        <f>VLOOKUP(A261,wikiName!A:B,2,0)</f>
        <v>Type124 ASDIC</v>
      </c>
    </row>
    <row r="262" spans="1:18" x14ac:dyDescent="0.4">
      <c r="A262">
        <f>装備閲覧!B262</f>
        <v>261</v>
      </c>
      <c r="B262" t="str">
        <f>装備閲覧!C262</f>
        <v>ソナー</v>
      </c>
      <c r="C262" t="str">
        <f>装備閲覧!D262</f>
        <v>Type144/147 ASDIC</v>
      </c>
      <c r="D262">
        <f>装備閲覧!H262</f>
        <v>18</v>
      </c>
      <c r="E262">
        <f>装備閲覧!J262</f>
        <v>0</v>
      </c>
      <c r="F262">
        <f>装備閲覧!K262</f>
        <v>0</v>
      </c>
      <c r="G262">
        <f>装備閲覧!L262</f>
        <v>0</v>
      </c>
      <c r="H262">
        <f>装備閲覧!M262</f>
        <v>0</v>
      </c>
      <c r="I262">
        <f>装備閲覧!N262</f>
        <v>13</v>
      </c>
      <c r="J262">
        <f>装備閲覧!O262</f>
        <v>1</v>
      </c>
      <c r="K262">
        <f>装備閲覧!P262</f>
        <v>0</v>
      </c>
      <c r="L262">
        <f>装備閲覧!R262</f>
        <v>3</v>
      </c>
      <c r="M262">
        <f>装備閲覧!S262</f>
        <v>0</v>
      </c>
      <c r="N262" t="str">
        <f>装備閲覧!T262</f>
        <v>無</v>
      </c>
      <c r="O262">
        <f>装備閲覧!AA262</f>
        <v>0</v>
      </c>
      <c r="P262" s="1" t="str">
        <f>IFERROR(IFERROR(VLOOKUP(C262,改修!A:B,2,0),_xlfn.NUMBERVALUE(VLOOKUP(C262,特殊改修値!C:D,2,0))),"×")</f>
        <v>×</v>
      </c>
      <c r="Q262" t="str">
        <f>IFERROR(VLOOKUP(C262,装備ボーナス!B:C,2,0),"×")</f>
        <v>×</v>
      </c>
      <c r="R262" t="str">
        <f>VLOOKUP(A262,wikiName!A:B,2,0)</f>
        <v>Type144/147 ASDIC</v>
      </c>
    </row>
    <row r="263" spans="1:18" x14ac:dyDescent="0.4">
      <c r="A263">
        <f>装備閲覧!B263</f>
        <v>262</v>
      </c>
      <c r="B263" t="str">
        <f>装備閲覧!C263</f>
        <v>ソナー</v>
      </c>
      <c r="C263" t="str">
        <f>装備閲覧!D263</f>
        <v>HF/DF + Type144/147 ASDIC</v>
      </c>
      <c r="D263">
        <f>装備閲覧!H263</f>
        <v>18</v>
      </c>
      <c r="E263">
        <f>装備閲覧!J263</f>
        <v>0</v>
      </c>
      <c r="F263">
        <f>装備閲覧!K263</f>
        <v>0</v>
      </c>
      <c r="G263">
        <f>装備閲覧!L263</f>
        <v>0</v>
      </c>
      <c r="H263">
        <f>装備閲覧!M263</f>
        <v>0</v>
      </c>
      <c r="I263">
        <f>装備閲覧!N263</f>
        <v>15</v>
      </c>
      <c r="J263">
        <f>装備閲覧!O263</f>
        <v>2</v>
      </c>
      <c r="K263">
        <f>装備閲覧!P263</f>
        <v>2</v>
      </c>
      <c r="L263">
        <f>装備閲覧!R263</f>
        <v>3</v>
      </c>
      <c r="M263">
        <f>装備閲覧!S263</f>
        <v>0</v>
      </c>
      <c r="N263" t="str">
        <f>装備閲覧!T263</f>
        <v>無</v>
      </c>
      <c r="O263">
        <f>装備閲覧!AA263</f>
        <v>0</v>
      </c>
      <c r="P263" s="1" t="str">
        <f>IFERROR(IFERROR(VLOOKUP(C263,改修!A:B,2,0),_xlfn.NUMBERVALUE(VLOOKUP(C263,特殊改修値!C:D,2,0))),"×")</f>
        <v>×</v>
      </c>
      <c r="Q263" t="str">
        <f>IFERROR(VLOOKUP(C263,装備ボーナス!B:C,2,0),"×")</f>
        <v>×</v>
      </c>
      <c r="R263" t="str">
        <f>VLOOKUP(A263,wikiName!A:B,2,0)</f>
        <v>HF/DF + Type144/147 ASDIC</v>
      </c>
    </row>
    <row r="264" spans="1:18" x14ac:dyDescent="0.4">
      <c r="A264">
        <f>装備閲覧!B264</f>
        <v>263</v>
      </c>
      <c r="B264" t="str">
        <f>装備閲覧!C264</f>
        <v>局地戦闘機</v>
      </c>
      <c r="C264" t="str">
        <f>装備閲覧!D264</f>
        <v>紫電改(三四三空) 戦闘301</v>
      </c>
      <c r="D264">
        <f>装備閲覧!H264</f>
        <v>38</v>
      </c>
      <c r="E264">
        <f>装備閲覧!J264</f>
        <v>0</v>
      </c>
      <c r="F264">
        <f>装備閲覧!K264</f>
        <v>0</v>
      </c>
      <c r="G264">
        <f>装備閲覧!L264</f>
        <v>11</v>
      </c>
      <c r="H264">
        <f>装備閲覧!M264</f>
        <v>2</v>
      </c>
      <c r="I264">
        <f>装備閲覧!N264</f>
        <v>0</v>
      </c>
      <c r="J264">
        <f>装備閲覧!O264</f>
        <v>4</v>
      </c>
      <c r="K264">
        <f>装備閲覧!P264</f>
        <v>0</v>
      </c>
      <c r="L264">
        <f>装備閲覧!R264</f>
        <v>2</v>
      </c>
      <c r="M264">
        <f>装備閲覧!S264</f>
        <v>0</v>
      </c>
      <c r="N264" t="str">
        <f>装備閲覧!T264</f>
        <v>無</v>
      </c>
      <c r="O264">
        <f>装備閲覧!AA264</f>
        <v>4</v>
      </c>
      <c r="P264" s="1" t="str">
        <f>IFERROR(IFERROR(VLOOKUP(C264,改修!A:B,2,0),_xlfn.NUMBERVALUE(VLOOKUP(C264,特殊改修値!C:D,2,0))),"×")</f>
        <v>×</v>
      </c>
      <c r="Q264" t="str">
        <f>IFERROR(VLOOKUP(C264,装備ボーナス!B:C,2,0),"×")</f>
        <v>×</v>
      </c>
      <c r="R264" t="str">
        <f>VLOOKUP(A264,wikiName!A:B,2,0)</f>
        <v>紫電改(三四三空) 戦闘301</v>
      </c>
    </row>
    <row r="265" spans="1:18" x14ac:dyDescent="0.4">
      <c r="A265">
        <f>装備閲覧!B265</f>
        <v>266</v>
      </c>
      <c r="B265" t="str">
        <f>装備閲覧!C265</f>
        <v>小口径主砲</v>
      </c>
      <c r="C265" t="str">
        <f>装備閲覧!D265</f>
        <v>12.7cm連装砲C型改二</v>
      </c>
      <c r="D265">
        <f>装備閲覧!H265</f>
        <v>1</v>
      </c>
      <c r="E265">
        <f>装備閲覧!J265</f>
        <v>3</v>
      </c>
      <c r="F265">
        <f>装備閲覧!K265</f>
        <v>0</v>
      </c>
      <c r="G265">
        <f>装備閲覧!L265</f>
        <v>2</v>
      </c>
      <c r="H265">
        <f>装備閲覧!M265</f>
        <v>1</v>
      </c>
      <c r="I265">
        <f>装備閲覧!N265</f>
        <v>0</v>
      </c>
      <c r="J265">
        <f>装備閲覧!O265</f>
        <v>0</v>
      </c>
      <c r="K265">
        <f>装備閲覧!P265</f>
        <v>0</v>
      </c>
      <c r="L265">
        <f>装備閲覧!R265</f>
        <v>1</v>
      </c>
      <c r="M265">
        <f>装備閲覧!S265</f>
        <v>0</v>
      </c>
      <c r="N265" t="str">
        <f>装備閲覧!T265</f>
        <v>短</v>
      </c>
      <c r="O265">
        <f>装備閲覧!AA265</f>
        <v>0</v>
      </c>
      <c r="P265" s="1" t="str">
        <f>IFERROR(IFERROR(VLOOKUP(C265,改修!A:B,2,0),_xlfn.NUMBERVALUE(VLOOKUP(C265,特殊改修値!C:D,2,0))),"×")</f>
        <v>〇</v>
      </c>
      <c r="Q265" t="str">
        <f>IFERROR(VLOOKUP(C265,装備ボーナス!B:C,2,0),"×")</f>
        <v>〇</v>
      </c>
      <c r="R265" t="str">
        <f>VLOOKUP(A265,wikiName!A:B,2,0)</f>
        <v>12.7cm連装砲C型改二</v>
      </c>
    </row>
    <row r="266" spans="1:18" x14ac:dyDescent="0.4">
      <c r="A266">
        <f>装備閲覧!B266</f>
        <v>267</v>
      </c>
      <c r="B266" t="str">
        <f>装備閲覧!C266</f>
        <v>小口径主砲</v>
      </c>
      <c r="C266" t="str">
        <f>装備閲覧!D266</f>
        <v>12.7cm連装砲D型改二</v>
      </c>
      <c r="D266">
        <f>装備閲覧!H266</f>
        <v>1</v>
      </c>
      <c r="E266">
        <f>装備閲覧!J266</f>
        <v>3</v>
      </c>
      <c r="F266">
        <f>装備閲覧!K266</f>
        <v>0</v>
      </c>
      <c r="G266">
        <f>装備閲覧!L266</f>
        <v>4</v>
      </c>
      <c r="H266">
        <f>装備閲覧!M266</f>
        <v>1</v>
      </c>
      <c r="I266">
        <f>装備閲覧!N266</f>
        <v>0</v>
      </c>
      <c r="J266">
        <f>装備閲覧!O266</f>
        <v>1</v>
      </c>
      <c r="K266">
        <f>装備閲覧!P266</f>
        <v>0</v>
      </c>
      <c r="L266">
        <f>装備閲覧!R266</f>
        <v>2</v>
      </c>
      <c r="M266">
        <f>装備閲覧!S266</f>
        <v>0</v>
      </c>
      <c r="N266" t="str">
        <f>装備閲覧!T266</f>
        <v>短</v>
      </c>
      <c r="O266">
        <f>装備閲覧!AA266</f>
        <v>0</v>
      </c>
      <c r="P266" s="1" t="str">
        <f>IFERROR(IFERROR(VLOOKUP(C266,改修!A:B,2,0),_xlfn.NUMBERVALUE(VLOOKUP(C266,特殊改修値!C:D,2,0))),"×")</f>
        <v>〇</v>
      </c>
      <c r="Q266" t="str">
        <f>IFERROR(VLOOKUP(C266,装備ボーナス!B:C,2,0),"×")</f>
        <v>〇</v>
      </c>
      <c r="R266" t="str">
        <f>VLOOKUP(A266,wikiName!A:B,2,0)</f>
        <v>12.7cm連装砲D型改二</v>
      </c>
    </row>
    <row r="267" spans="1:18" x14ac:dyDescent="0.4">
      <c r="A267">
        <f>装備閲覧!B267</f>
        <v>268</v>
      </c>
      <c r="B267" t="str">
        <f>装備閲覧!C267</f>
        <v>追加装甲(中型)</v>
      </c>
      <c r="C267" t="str">
        <f>装備閲覧!D267</f>
        <v>北方迷彩(+北方装備)</v>
      </c>
      <c r="D267">
        <f>装備閲覧!H267</f>
        <v>23</v>
      </c>
      <c r="E267">
        <f>装備閲覧!J267</f>
        <v>0</v>
      </c>
      <c r="F267">
        <f>装備閲覧!K267</f>
        <v>0</v>
      </c>
      <c r="G267">
        <f>装備閲覧!L267</f>
        <v>0</v>
      </c>
      <c r="H267">
        <f>装備閲覧!M267</f>
        <v>2</v>
      </c>
      <c r="I267">
        <f>装備閲覧!N267</f>
        <v>0</v>
      </c>
      <c r="J267">
        <f>装備閲覧!O267</f>
        <v>2</v>
      </c>
      <c r="K267">
        <f>装備閲覧!P267</f>
        <v>0</v>
      </c>
      <c r="L267">
        <f>装備閲覧!R267</f>
        <v>0</v>
      </c>
      <c r="M267">
        <f>装備閲覧!S267</f>
        <v>0</v>
      </c>
      <c r="N267" t="str">
        <f>装備閲覧!T267</f>
        <v>無</v>
      </c>
      <c r="O267">
        <f>装備閲覧!AA267</f>
        <v>0</v>
      </c>
      <c r="P267" s="1" t="str">
        <f>IFERROR(IFERROR(VLOOKUP(C267,改修!A:B,2,0),_xlfn.NUMBERVALUE(VLOOKUP(C267,特殊改修値!C:D,2,0))),"×")</f>
        <v>×</v>
      </c>
      <c r="Q267" t="str">
        <f>IFERROR(VLOOKUP(C267,装備ボーナス!B:C,2,0),"×")</f>
        <v>〇</v>
      </c>
      <c r="R267" t="str">
        <f>VLOOKUP(A267,wikiName!A:B,2,0)</f>
        <v>北方迷彩(＋北方装備)</v>
      </c>
    </row>
    <row r="268" spans="1:18" x14ac:dyDescent="0.4">
      <c r="A268">
        <f>装備閲覧!B268</f>
        <v>269</v>
      </c>
      <c r="B268" t="str">
        <f>装備閲覧!C268</f>
        <v>陸上攻撃機</v>
      </c>
      <c r="C268" t="str">
        <f>装備閲覧!D268</f>
        <v>試製東海</v>
      </c>
      <c r="D268">
        <f>装備閲覧!H268</f>
        <v>47</v>
      </c>
      <c r="E268">
        <f>装備閲覧!J268</f>
        <v>0</v>
      </c>
      <c r="F268">
        <f>装備閲覧!K268</f>
        <v>0</v>
      </c>
      <c r="G268">
        <f>装備閲覧!L268</f>
        <v>0</v>
      </c>
      <c r="H268">
        <f>装備閲覧!M268</f>
        <v>0</v>
      </c>
      <c r="I268">
        <f>装備閲覧!N268</f>
        <v>10</v>
      </c>
      <c r="J268">
        <f>装備閲覧!O268</f>
        <v>0</v>
      </c>
      <c r="K268">
        <f>装備閲覧!P268</f>
        <v>5</v>
      </c>
      <c r="L268">
        <f>装備閲覧!R268</f>
        <v>0</v>
      </c>
      <c r="M268">
        <f>装備閲覧!S268</f>
        <v>2</v>
      </c>
      <c r="N268" t="str">
        <f>装備閲覧!T268</f>
        <v>無</v>
      </c>
      <c r="O268">
        <f>装備閲覧!AA268</f>
        <v>8</v>
      </c>
      <c r="P268" s="1" t="str">
        <f>IFERROR(IFERROR(VLOOKUP(C268,改修!A:B,2,0),_xlfn.NUMBERVALUE(VLOOKUP(C268,特殊改修値!C:D,2,0))),"×")</f>
        <v>×</v>
      </c>
      <c r="Q268" t="str">
        <f>IFERROR(VLOOKUP(C268,装備ボーナス!B:C,2,0),"×")</f>
        <v>×</v>
      </c>
      <c r="R268" t="str">
        <f>VLOOKUP(A268,wikiName!A:B,2,0)</f>
        <v>試製東海</v>
      </c>
    </row>
    <row r="269" spans="1:18" x14ac:dyDescent="0.4">
      <c r="A269">
        <f>装備閲覧!B269</f>
        <v>270</v>
      </c>
      <c r="B269" t="str">
        <f>装備閲覧!C269</f>
        <v>陸上攻撃機</v>
      </c>
      <c r="C269" t="str">
        <f>装備閲覧!D269</f>
        <v>東海(九〇一空)</v>
      </c>
      <c r="D269">
        <f>装備閲覧!H269</f>
        <v>47</v>
      </c>
      <c r="E269">
        <f>装備閲覧!J269</f>
        <v>0</v>
      </c>
      <c r="F269">
        <f>装備閲覧!K269</f>
        <v>0</v>
      </c>
      <c r="G269">
        <f>装備閲覧!L269</f>
        <v>0</v>
      </c>
      <c r="H269">
        <f>装備閲覧!M269</f>
        <v>0</v>
      </c>
      <c r="I269">
        <f>装備閲覧!N269</f>
        <v>11</v>
      </c>
      <c r="J269">
        <f>装備閲覧!O269</f>
        <v>0</v>
      </c>
      <c r="K269">
        <f>装備閲覧!P269</f>
        <v>6</v>
      </c>
      <c r="L269">
        <f>装備閲覧!R269</f>
        <v>1</v>
      </c>
      <c r="M269">
        <f>装備閲覧!S269</f>
        <v>2</v>
      </c>
      <c r="N269" t="str">
        <f>装備閲覧!T269</f>
        <v>無</v>
      </c>
      <c r="O269">
        <f>装備閲覧!AA269</f>
        <v>8</v>
      </c>
      <c r="P269" s="1" t="str">
        <f>IFERROR(IFERROR(VLOOKUP(C269,改修!A:B,2,0),_xlfn.NUMBERVALUE(VLOOKUP(C269,特殊改修値!C:D,2,0))),"×")</f>
        <v>×</v>
      </c>
      <c r="Q269" t="str">
        <f>IFERROR(VLOOKUP(C269,装備ボーナス!B:C,2,0),"×")</f>
        <v>×</v>
      </c>
      <c r="R269" t="str">
        <f>VLOOKUP(A269,wikiName!A:B,2,0)</f>
        <v>東海(九〇一空)</v>
      </c>
    </row>
    <row r="270" spans="1:18" x14ac:dyDescent="0.4">
      <c r="A270">
        <f>装備閲覧!B270</f>
        <v>271</v>
      </c>
      <c r="B270" t="str">
        <f>装備閲覧!C270</f>
        <v>艦上戦闘機</v>
      </c>
      <c r="C270" t="str">
        <f>装備閲覧!D270</f>
        <v>紫電改四</v>
      </c>
      <c r="D270">
        <f>装備閲覧!H270</f>
        <v>6</v>
      </c>
      <c r="E270">
        <f>装備閲覧!J270</f>
        <v>0</v>
      </c>
      <c r="F270">
        <f>装備閲覧!K270</f>
        <v>0</v>
      </c>
      <c r="G270">
        <f>装備閲覧!L270</f>
        <v>10</v>
      </c>
      <c r="H270">
        <f>装備閲覧!M270</f>
        <v>1</v>
      </c>
      <c r="I270">
        <f>装備閲覧!N270</f>
        <v>0</v>
      </c>
      <c r="J270">
        <f>装備閲覧!O270</f>
        <v>3</v>
      </c>
      <c r="K270">
        <f>装備閲覧!P270</f>
        <v>0</v>
      </c>
      <c r="L270">
        <f>装備閲覧!R270</f>
        <v>1</v>
      </c>
      <c r="M270">
        <f>装備閲覧!S270</f>
        <v>0</v>
      </c>
      <c r="N270" t="str">
        <f>装備閲覧!T270</f>
        <v>無</v>
      </c>
      <c r="O270">
        <f>装備閲覧!AA270</f>
        <v>4</v>
      </c>
      <c r="P270" s="1">
        <f>IFERROR(IFERROR(VLOOKUP(C270,改修!A:B,2,0),_xlfn.NUMBERVALUE(VLOOKUP(C270,特殊改修値!C:D,2,0))),"×")</f>
        <v>4</v>
      </c>
      <c r="Q270" t="str">
        <f>IFERROR(VLOOKUP(C270,装備ボーナス!B:C,2,0),"×")</f>
        <v>×</v>
      </c>
      <c r="R270" t="str">
        <f>VLOOKUP(A270,wikiName!A:B,2,0)</f>
        <v>紫電改四</v>
      </c>
    </row>
    <row r="271" spans="1:18" x14ac:dyDescent="0.4">
      <c r="A271">
        <f>装備閲覧!B271</f>
        <v>272</v>
      </c>
      <c r="B271" t="str">
        <f>装備閲覧!C271</f>
        <v>司令部施設</v>
      </c>
      <c r="C271" t="str">
        <f>装備閲覧!D271</f>
        <v>遊撃部隊 艦隊司令部</v>
      </c>
      <c r="D271">
        <f>装備閲覧!H271</f>
        <v>28</v>
      </c>
      <c r="E271">
        <f>装備閲覧!J271</f>
        <v>0</v>
      </c>
      <c r="F271">
        <f>装備閲覧!K271</f>
        <v>0</v>
      </c>
      <c r="G271">
        <f>装備閲覧!L271</f>
        <v>0</v>
      </c>
      <c r="H271">
        <f>装備閲覧!M271</f>
        <v>1</v>
      </c>
      <c r="I271">
        <f>装備閲覧!N271</f>
        <v>0</v>
      </c>
      <c r="J271">
        <f>装備閲覧!O271</f>
        <v>1</v>
      </c>
      <c r="K271">
        <f>装備閲覧!P271</f>
        <v>1</v>
      </c>
      <c r="L271">
        <f>装備閲覧!R271</f>
        <v>1</v>
      </c>
      <c r="M271">
        <f>装備閲覧!S271</f>
        <v>0</v>
      </c>
      <c r="N271" t="str">
        <f>装備閲覧!T271</f>
        <v>無</v>
      </c>
      <c r="O271">
        <f>装備閲覧!AA271</f>
        <v>0</v>
      </c>
      <c r="P271" s="1" t="str">
        <f>IFERROR(IFERROR(VLOOKUP(C271,改修!A:B,2,0),_xlfn.NUMBERVALUE(VLOOKUP(C271,特殊改修値!C:D,2,0))),"×")</f>
        <v>×</v>
      </c>
      <c r="Q271" t="str">
        <f>IFERROR(VLOOKUP(C271,装備ボーナス!B:C,2,0),"×")</f>
        <v>×</v>
      </c>
      <c r="R271" t="str">
        <f>VLOOKUP(A271,wikiName!A:B,2,0)</f>
        <v>遊撃部隊 艦隊司令部</v>
      </c>
    </row>
    <row r="272" spans="1:18" x14ac:dyDescent="0.4">
      <c r="A272">
        <f>装備閲覧!B272</f>
        <v>273</v>
      </c>
      <c r="B272" t="str">
        <f>装備閲覧!C272</f>
        <v>艦上偵察機</v>
      </c>
      <c r="C272" t="str">
        <f>装備閲覧!D272</f>
        <v>彩雲(偵四)</v>
      </c>
      <c r="D272">
        <f>装備閲覧!H272</f>
        <v>9</v>
      </c>
      <c r="E272">
        <f>装備閲覧!J272</f>
        <v>0</v>
      </c>
      <c r="F272">
        <f>装備閲覧!K272</f>
        <v>0</v>
      </c>
      <c r="G272">
        <f>装備閲覧!L272</f>
        <v>2</v>
      </c>
      <c r="H272">
        <f>装備閲覧!M272</f>
        <v>0</v>
      </c>
      <c r="I272">
        <f>装備閲覧!N272</f>
        <v>0</v>
      </c>
      <c r="J272">
        <f>装備閲覧!O272</f>
        <v>0</v>
      </c>
      <c r="K272">
        <f>装備閲覧!P272</f>
        <v>10</v>
      </c>
      <c r="L272">
        <f>装備閲覧!R272</f>
        <v>2</v>
      </c>
      <c r="M272">
        <f>装備閲覧!S272</f>
        <v>0</v>
      </c>
      <c r="N272" t="str">
        <f>装備閲覧!T272</f>
        <v>無</v>
      </c>
      <c r="O272">
        <f>装備閲覧!AA272</f>
        <v>7</v>
      </c>
      <c r="P272" s="1">
        <f>IFERROR(IFERROR(VLOOKUP(C272,改修!A:B,2,0),_xlfn.NUMBERVALUE(VLOOKUP(C272,特殊改修値!C:D,2,0))),"×")</f>
        <v>2</v>
      </c>
      <c r="Q272" t="str">
        <f>IFERROR(VLOOKUP(C272,装備ボーナス!B:C,2,0),"×")</f>
        <v>〇</v>
      </c>
      <c r="R272" t="str">
        <f>VLOOKUP(A272,wikiName!A:B,2,0)</f>
        <v>彩雲(偵四)</v>
      </c>
    </row>
    <row r="273" spans="1:18" x14ac:dyDescent="0.4">
      <c r="A273">
        <f>装備閲覧!B273</f>
        <v>274</v>
      </c>
      <c r="B273" t="str">
        <f>装備閲覧!C273</f>
        <v>対空機銃</v>
      </c>
      <c r="C273" t="str">
        <f>装備閲覧!D273</f>
        <v>12cm30連装噴進砲改二</v>
      </c>
      <c r="D273">
        <f>装備閲覧!H273</f>
        <v>15</v>
      </c>
      <c r="E273">
        <f>装備閲覧!J273</f>
        <v>0</v>
      </c>
      <c r="F273">
        <f>装備閲覧!K273</f>
        <v>0</v>
      </c>
      <c r="G273">
        <f>装備閲覧!L273</f>
        <v>8</v>
      </c>
      <c r="H273">
        <f>装備閲覧!M273</f>
        <v>1</v>
      </c>
      <c r="I273">
        <f>装備閲覧!N273</f>
        <v>0</v>
      </c>
      <c r="J273">
        <f>装備閲覧!O273</f>
        <v>3</v>
      </c>
      <c r="K273">
        <f>装備閲覧!P273</f>
        <v>0</v>
      </c>
      <c r="L273">
        <f>装備閲覧!R273</f>
        <v>1</v>
      </c>
      <c r="M273">
        <f>装備閲覧!S273</f>
        <v>0</v>
      </c>
      <c r="N273" t="str">
        <f>装備閲覧!T273</f>
        <v>無</v>
      </c>
      <c r="O273">
        <f>装備閲覧!AA273</f>
        <v>0</v>
      </c>
      <c r="P273" s="1" t="str">
        <f>IFERROR(IFERROR(VLOOKUP(C273,改修!A:B,2,0),_xlfn.NUMBERVALUE(VLOOKUP(C273,特殊改修値!C:D,2,0))),"×")</f>
        <v>〇</v>
      </c>
      <c r="Q273" t="str">
        <f>IFERROR(VLOOKUP(C273,装備ボーナス!B:C,2,0),"×")</f>
        <v>×</v>
      </c>
      <c r="R273" t="str">
        <f>VLOOKUP(A273,wikiName!A:B,2,0)</f>
        <v>12cm30連装噴進砲改二</v>
      </c>
    </row>
    <row r="274" spans="1:18" x14ac:dyDescent="0.4">
      <c r="A274">
        <f>装備閲覧!B274</f>
        <v>275</v>
      </c>
      <c r="B274" t="str">
        <f>装備閲覧!C274</f>
        <v>副砲</v>
      </c>
      <c r="C274" t="str">
        <f>装備閲覧!D274</f>
        <v>10cm連装高角砲改+増設機銃</v>
      </c>
      <c r="D274">
        <f>装備閲覧!H274</f>
        <v>16</v>
      </c>
      <c r="E274">
        <f>装備閲覧!J274</f>
        <v>2</v>
      </c>
      <c r="F274">
        <f>装備閲覧!K274</f>
        <v>0</v>
      </c>
      <c r="G274">
        <f>装備閲覧!L274</f>
        <v>9</v>
      </c>
      <c r="H274">
        <f>装備閲覧!M274</f>
        <v>1</v>
      </c>
      <c r="I274">
        <f>装備閲覧!N274</f>
        <v>0</v>
      </c>
      <c r="J274">
        <f>装備閲覧!O274</f>
        <v>1</v>
      </c>
      <c r="K274">
        <f>装備閲覧!P274</f>
        <v>0</v>
      </c>
      <c r="L274">
        <f>装備閲覧!R274</f>
        <v>2</v>
      </c>
      <c r="M274">
        <f>装備閲覧!S274</f>
        <v>0</v>
      </c>
      <c r="N274" t="str">
        <f>装備閲覧!T274</f>
        <v>短</v>
      </c>
      <c r="O274">
        <f>装備閲覧!AA274</f>
        <v>0</v>
      </c>
      <c r="P274" s="1" t="str">
        <f>IFERROR(IFERROR(VLOOKUP(C274,改修!A:B,2,0),_xlfn.NUMBERVALUE(VLOOKUP(C274,特殊改修値!C:D,2,0))),"×")</f>
        <v>〇</v>
      </c>
      <c r="Q274" t="str">
        <f>IFERROR(VLOOKUP(C274,装備ボーナス!B:C,2,0),"×")</f>
        <v>×</v>
      </c>
      <c r="R274" t="str">
        <f>VLOOKUP(A274,wikiName!A:B,2,0)</f>
        <v>10cm連装高角砲改＋増設機銃</v>
      </c>
    </row>
    <row r="275" spans="1:18" x14ac:dyDescent="0.4">
      <c r="A275">
        <f>装備閲覧!B275</f>
        <v>276</v>
      </c>
      <c r="B275" t="str">
        <f>装備閲覧!C275</f>
        <v>大口径主砲</v>
      </c>
      <c r="C275" t="str">
        <f>装備閲覧!D275</f>
        <v>46cm三連装砲改</v>
      </c>
      <c r="D275">
        <f>装備閲覧!H275</f>
        <v>3</v>
      </c>
      <c r="E275">
        <f>装備閲覧!J275</f>
        <v>27</v>
      </c>
      <c r="F275">
        <f>装備閲覧!K275</f>
        <v>0</v>
      </c>
      <c r="G275">
        <f>装備閲覧!L275</f>
        <v>6</v>
      </c>
      <c r="H275">
        <f>装備閲覧!M275</f>
        <v>2</v>
      </c>
      <c r="I275">
        <f>装備閲覧!N275</f>
        <v>0</v>
      </c>
      <c r="J275">
        <f>装備閲覧!O275</f>
        <v>0</v>
      </c>
      <c r="K275">
        <f>装備閲覧!P275</f>
        <v>0</v>
      </c>
      <c r="L275">
        <f>装備閲覧!R275</f>
        <v>2</v>
      </c>
      <c r="M275">
        <f>装備閲覧!S275</f>
        <v>0</v>
      </c>
      <c r="N275" t="str">
        <f>装備閲覧!T275</f>
        <v>超長</v>
      </c>
      <c r="O275">
        <f>装備閲覧!AA275</f>
        <v>0</v>
      </c>
      <c r="P275" s="1" t="str">
        <f>IFERROR(IFERROR(VLOOKUP(C275,改修!A:B,2,0),_xlfn.NUMBERVALUE(VLOOKUP(C275,特殊改修値!C:D,2,0))),"×")</f>
        <v>〇</v>
      </c>
      <c r="Q275" t="str">
        <f>IFERROR(VLOOKUP(C275,装備ボーナス!B:C,2,0),"×")</f>
        <v>×</v>
      </c>
      <c r="R275" t="str">
        <f>VLOOKUP(A275,wikiName!A:B,2,0)</f>
        <v>46cm三連装砲改</v>
      </c>
    </row>
    <row r="276" spans="1:18" x14ac:dyDescent="0.4">
      <c r="A276">
        <f>装備閲覧!B276</f>
        <v>277</v>
      </c>
      <c r="B276" t="str">
        <f>装備閲覧!C276</f>
        <v>艦上爆撃機</v>
      </c>
      <c r="C276" t="str">
        <f>装備閲覧!D276</f>
        <v>FM-2</v>
      </c>
      <c r="D276">
        <f>装備閲覧!H276</f>
        <v>7</v>
      </c>
      <c r="E276">
        <f>装備閲覧!J276</f>
        <v>2</v>
      </c>
      <c r="F276">
        <f>装備閲覧!K276</f>
        <v>0</v>
      </c>
      <c r="G276">
        <f>装備閲覧!L276</f>
        <v>6</v>
      </c>
      <c r="H276">
        <f>装備閲覧!M276</f>
        <v>0</v>
      </c>
      <c r="I276">
        <f>装備閲覧!N276</f>
        <v>1</v>
      </c>
      <c r="J276">
        <f>装備閲覧!O276</f>
        <v>2</v>
      </c>
      <c r="K276">
        <f>装備閲覧!P276</f>
        <v>0</v>
      </c>
      <c r="L276">
        <f>装備閲覧!R276</f>
        <v>2</v>
      </c>
      <c r="M276">
        <f>装備閲覧!S276</f>
        <v>2</v>
      </c>
      <c r="N276" t="str">
        <f>装備閲覧!T276</f>
        <v>無</v>
      </c>
      <c r="O276">
        <f>装備閲覧!AA276</f>
        <v>4</v>
      </c>
      <c r="P276" s="1" t="str">
        <f>IFERROR(IFERROR(VLOOKUP(C276,改修!A:B,2,0),_xlfn.NUMBERVALUE(VLOOKUP(C276,特殊改修値!C:D,2,0))),"×")</f>
        <v>×</v>
      </c>
      <c r="Q276" t="str">
        <f>IFERROR(VLOOKUP(C276,装備ボーナス!B:C,2,0),"×")</f>
        <v>×</v>
      </c>
      <c r="R276" t="str">
        <f>VLOOKUP(A276,wikiName!A:B,2,0)</f>
        <v>FM-2</v>
      </c>
    </row>
    <row r="277" spans="1:18" x14ac:dyDescent="0.4">
      <c r="A277">
        <f>装備閲覧!B277</f>
        <v>278</v>
      </c>
      <c r="B277" t="str">
        <f>装備閲覧!C277</f>
        <v>大型電探</v>
      </c>
      <c r="C277" t="str">
        <f>装備閲覧!D277</f>
        <v>SK レーダー</v>
      </c>
      <c r="D277">
        <f>装備閲覧!H277</f>
        <v>11</v>
      </c>
      <c r="E277">
        <f>装備閲覧!J277</f>
        <v>0</v>
      </c>
      <c r="F277">
        <f>装備閲覧!K277</f>
        <v>0</v>
      </c>
      <c r="G277">
        <f>装備閲覧!L277</f>
        <v>8</v>
      </c>
      <c r="H277">
        <f>装備閲覧!M277</f>
        <v>0</v>
      </c>
      <c r="I277">
        <f>装備閲覧!N277</f>
        <v>0</v>
      </c>
      <c r="J277">
        <f>装備閲覧!O277</f>
        <v>2</v>
      </c>
      <c r="K277">
        <f>装備閲覧!P277</f>
        <v>10</v>
      </c>
      <c r="L277">
        <f>装備閲覧!R277</f>
        <v>1</v>
      </c>
      <c r="M277">
        <f>装備閲覧!S277</f>
        <v>0</v>
      </c>
      <c r="N277" t="str">
        <f>装備閲覧!T277</f>
        <v>無</v>
      </c>
      <c r="O277">
        <f>装備閲覧!AA277</f>
        <v>0</v>
      </c>
      <c r="P277" s="1" t="str">
        <f>IFERROR(IFERROR(VLOOKUP(C277,改修!A:B,2,0),_xlfn.NUMBERVALUE(VLOOKUP(C277,特殊改修値!C:D,2,0))),"×")</f>
        <v>〇</v>
      </c>
      <c r="Q277" t="str">
        <f>IFERROR(VLOOKUP(C277,装備ボーナス!B:C,2,0),"×")</f>
        <v>〇</v>
      </c>
      <c r="R277" t="str">
        <f>VLOOKUP(A277,wikiName!A:B,2,0)</f>
        <v>SKレーダー</v>
      </c>
    </row>
    <row r="278" spans="1:18" x14ac:dyDescent="0.4">
      <c r="A278">
        <f>装備閲覧!B278</f>
        <v>279</v>
      </c>
      <c r="B278" t="str">
        <f>装備閲覧!C278</f>
        <v>大型電探</v>
      </c>
      <c r="C278" t="str">
        <f>装備閲覧!D278</f>
        <v>SK+SG レーダー</v>
      </c>
      <c r="D278">
        <f>装備閲覧!H278</f>
        <v>11</v>
      </c>
      <c r="E278">
        <f>装備閲覧!J278</f>
        <v>1</v>
      </c>
      <c r="F278">
        <f>装備閲覧!K278</f>
        <v>0</v>
      </c>
      <c r="G278">
        <f>装備閲覧!L278</f>
        <v>9</v>
      </c>
      <c r="H278">
        <f>装備閲覧!M278</f>
        <v>0</v>
      </c>
      <c r="I278">
        <f>装備閲覧!N278</f>
        <v>0</v>
      </c>
      <c r="J278">
        <f>装備閲覧!O278</f>
        <v>4</v>
      </c>
      <c r="K278">
        <f>装備閲覧!P278</f>
        <v>12</v>
      </c>
      <c r="L278">
        <f>装備閲覧!R278</f>
        <v>4</v>
      </c>
      <c r="M278">
        <f>装備閲覧!S278</f>
        <v>0</v>
      </c>
      <c r="N278" t="str">
        <f>装備閲覧!T278</f>
        <v>中</v>
      </c>
      <c r="O278">
        <f>装備閲覧!AA278</f>
        <v>0</v>
      </c>
      <c r="P278" s="1">
        <f>IFERROR(IFERROR(VLOOKUP(C278,改修!A:B,2,0),_xlfn.NUMBERVALUE(VLOOKUP(C278,特殊改修値!C:D,2,0))),"×")</f>
        <v>2</v>
      </c>
      <c r="Q278" t="str">
        <f>IFERROR(VLOOKUP(C278,装備ボーナス!B:C,2,0),"×")</f>
        <v>〇</v>
      </c>
      <c r="R278" t="str">
        <f>VLOOKUP(A278,wikiName!A:B,2,0)</f>
        <v>SK＋SGレーダー</v>
      </c>
    </row>
    <row r="279" spans="1:18" x14ac:dyDescent="0.4">
      <c r="A279">
        <f>装備閲覧!B279</f>
        <v>280</v>
      </c>
      <c r="B279" t="str">
        <f>装備閲覧!C279</f>
        <v>小口径主砲</v>
      </c>
      <c r="C279" t="str">
        <f>装備閲覧!D279</f>
        <v>QF 4.7inch砲 Mk.XII改</v>
      </c>
      <c r="D279">
        <f>装備閲覧!H279</f>
        <v>1</v>
      </c>
      <c r="E279">
        <f>装備閲覧!J279</f>
        <v>3</v>
      </c>
      <c r="F279">
        <f>装備閲覧!K279</f>
        <v>0</v>
      </c>
      <c r="G279">
        <f>装備閲覧!L279</f>
        <v>3</v>
      </c>
      <c r="H279">
        <f>装備閲覧!M279</f>
        <v>0</v>
      </c>
      <c r="I279">
        <f>装備閲覧!N279</f>
        <v>1</v>
      </c>
      <c r="J279">
        <f>装備閲覧!O279</f>
        <v>1</v>
      </c>
      <c r="K279">
        <f>装備閲覧!P279</f>
        <v>0</v>
      </c>
      <c r="L279">
        <f>装備閲覧!R279</f>
        <v>1</v>
      </c>
      <c r="M279">
        <f>装備閲覧!S279</f>
        <v>0</v>
      </c>
      <c r="N279" t="str">
        <f>装備閲覧!T279</f>
        <v>短</v>
      </c>
      <c r="O279">
        <f>装備閲覧!AA279</f>
        <v>0</v>
      </c>
      <c r="P279" s="1" t="str">
        <f>IFERROR(IFERROR(VLOOKUP(C279,改修!A:B,2,0),_xlfn.NUMBERVALUE(VLOOKUP(C279,特殊改修値!C:D,2,0))),"×")</f>
        <v>〇</v>
      </c>
      <c r="Q279" t="str">
        <f>IFERROR(VLOOKUP(C279,装備ボーナス!B:C,2,0),"×")</f>
        <v>×</v>
      </c>
      <c r="R279" t="str">
        <f>VLOOKUP(A279,wikiName!A:B,2,0)</f>
        <v>QF 4.7inch砲 Mk.XII改</v>
      </c>
    </row>
    <row r="280" spans="1:18" x14ac:dyDescent="0.4">
      <c r="A280">
        <f>装備閲覧!B280</f>
        <v>281</v>
      </c>
      <c r="B280" t="str">
        <f>装備閲覧!C280</f>
        <v>大口径主砲</v>
      </c>
      <c r="C280" t="str">
        <f>装備閲覧!D280</f>
        <v>51cm連装砲</v>
      </c>
      <c r="D280">
        <f>装備閲覧!H280</f>
        <v>3</v>
      </c>
      <c r="E280">
        <f>装備閲覧!J280</f>
        <v>32</v>
      </c>
      <c r="F280">
        <f>装備閲覧!K280</f>
        <v>0</v>
      </c>
      <c r="G280">
        <f>装備閲覧!L280</f>
        <v>5</v>
      </c>
      <c r="H280">
        <f>装備閲覧!M280</f>
        <v>2</v>
      </c>
      <c r="I280">
        <f>装備閲覧!N280</f>
        <v>0</v>
      </c>
      <c r="J280">
        <f>装備閲覧!O280</f>
        <v>-1</v>
      </c>
      <c r="K280">
        <f>装備閲覧!P280</f>
        <v>0</v>
      </c>
      <c r="L280">
        <f>装備閲覧!R280</f>
        <v>1</v>
      </c>
      <c r="M280">
        <f>装備閲覧!S280</f>
        <v>0</v>
      </c>
      <c r="N280" t="str">
        <f>装備閲覧!T280</f>
        <v>超長</v>
      </c>
      <c r="O280">
        <f>装備閲覧!AA280</f>
        <v>0</v>
      </c>
      <c r="P280" s="1" t="str">
        <f>IFERROR(IFERROR(VLOOKUP(C280,改修!A:B,2,0),_xlfn.NUMBERVALUE(VLOOKUP(C280,特殊改修値!C:D,2,0))),"×")</f>
        <v>〇</v>
      </c>
      <c r="Q280" t="str">
        <f>IFERROR(VLOOKUP(C280,装備ボーナス!B:C,2,0),"×")</f>
        <v>×</v>
      </c>
      <c r="R280" t="str">
        <f>VLOOKUP(A280,wikiName!A:B,2,0)</f>
        <v>51cm連装砲</v>
      </c>
    </row>
    <row r="281" spans="1:18" x14ac:dyDescent="0.4">
      <c r="A281">
        <f>装備閲覧!B281</f>
        <v>282</v>
      </c>
      <c r="B281" t="str">
        <f>装備閲覧!C281</f>
        <v>小口径主砲</v>
      </c>
      <c r="C281" t="str">
        <f>装備閲覧!D281</f>
        <v>130mm B-13連装砲</v>
      </c>
      <c r="D281">
        <f>装備閲覧!H281</f>
        <v>1</v>
      </c>
      <c r="E281">
        <f>装備閲覧!J281</f>
        <v>4</v>
      </c>
      <c r="F281">
        <f>装備閲覧!K281</f>
        <v>0</v>
      </c>
      <c r="G281">
        <f>装備閲覧!L281</f>
        <v>1</v>
      </c>
      <c r="H281">
        <f>装備閲覧!M281</f>
        <v>1</v>
      </c>
      <c r="I281">
        <f>装備閲覧!N281</f>
        <v>0</v>
      </c>
      <c r="J281">
        <f>装備閲覧!O281</f>
        <v>0</v>
      </c>
      <c r="K281">
        <f>装備閲覧!P281</f>
        <v>0</v>
      </c>
      <c r="L281">
        <f>装備閲覧!R281</f>
        <v>0</v>
      </c>
      <c r="M281">
        <f>装備閲覧!S281</f>
        <v>0</v>
      </c>
      <c r="N281" t="str">
        <f>装備閲覧!T281</f>
        <v>短</v>
      </c>
      <c r="O281">
        <f>装備閲覧!AA281</f>
        <v>0</v>
      </c>
      <c r="P281" s="1" t="str">
        <f>IFERROR(IFERROR(VLOOKUP(C281,改修!A:B,2,0),_xlfn.NUMBERVALUE(VLOOKUP(C281,特殊改修値!C:D,2,0))),"×")</f>
        <v>〇</v>
      </c>
      <c r="Q281" t="str">
        <f>IFERROR(VLOOKUP(C281,装備ボーナス!B:C,2,0),"×")</f>
        <v>〇</v>
      </c>
      <c r="R281" t="str">
        <f>VLOOKUP(A281,wikiName!A:B,2,0)</f>
        <v>130mm B-13連装砲</v>
      </c>
    </row>
    <row r="282" spans="1:18" x14ac:dyDescent="0.4">
      <c r="A282">
        <f>装備閲覧!B282</f>
        <v>283</v>
      </c>
      <c r="B282" t="str">
        <f>装備閲覧!C282</f>
        <v>魚雷</v>
      </c>
      <c r="C282" t="str">
        <f>装備閲覧!D282</f>
        <v>533mm 三連装魚雷</v>
      </c>
      <c r="D282">
        <f>装備閲覧!H282</f>
        <v>5</v>
      </c>
      <c r="E282">
        <f>装備閲覧!J282</f>
        <v>1</v>
      </c>
      <c r="F282">
        <f>装備閲覧!K282</f>
        <v>5</v>
      </c>
      <c r="G282">
        <f>装備閲覧!L282</f>
        <v>0</v>
      </c>
      <c r="H282">
        <f>装備閲覧!M282</f>
        <v>0</v>
      </c>
      <c r="I282">
        <f>装備閲覧!N282</f>
        <v>0</v>
      </c>
      <c r="J282">
        <f>装備閲覧!O282</f>
        <v>1</v>
      </c>
      <c r="K282">
        <f>装備閲覧!P282</f>
        <v>0</v>
      </c>
      <c r="L282">
        <f>装備閲覧!R282</f>
        <v>0</v>
      </c>
      <c r="M282">
        <f>装備閲覧!S282</f>
        <v>0</v>
      </c>
      <c r="N282" t="str">
        <f>装備閲覧!T282</f>
        <v>短</v>
      </c>
      <c r="O282">
        <f>装備閲覧!AA282</f>
        <v>0</v>
      </c>
      <c r="P282" s="1" t="str">
        <f>IFERROR(IFERROR(VLOOKUP(C282,改修!A:B,2,0),_xlfn.NUMBERVALUE(VLOOKUP(C282,特殊改修値!C:D,2,0))),"×")</f>
        <v>〇</v>
      </c>
      <c r="Q282" t="str">
        <f>IFERROR(VLOOKUP(C282,装備ボーナス!B:C,2,0),"×")</f>
        <v>〇</v>
      </c>
      <c r="R282" t="str">
        <f>VLOOKUP(A282,wikiName!A:B,2,0)</f>
        <v>533mm 三連装魚雷</v>
      </c>
    </row>
    <row r="283" spans="1:18" x14ac:dyDescent="0.4">
      <c r="A283">
        <f>装備閲覧!B283</f>
        <v>284</v>
      </c>
      <c r="B283" t="str">
        <f>装備閲覧!C283</f>
        <v>小口径主砲</v>
      </c>
      <c r="C283" t="str">
        <f>装備閲覧!D283</f>
        <v>5inch単装砲 Mk.30</v>
      </c>
      <c r="D283">
        <f>装備閲覧!H283</f>
        <v>16</v>
      </c>
      <c r="E283">
        <f>装備閲覧!J283</f>
        <v>2</v>
      </c>
      <c r="F283">
        <f>装備閲覧!K283</f>
        <v>0</v>
      </c>
      <c r="G283">
        <f>装備閲覧!L283</f>
        <v>6</v>
      </c>
      <c r="H283">
        <f>装備閲覧!M283</f>
        <v>1</v>
      </c>
      <c r="I283">
        <f>装備閲覧!N283</f>
        <v>0</v>
      </c>
      <c r="J283">
        <f>装備閲覧!O283</f>
        <v>2</v>
      </c>
      <c r="K283">
        <f>装備閲覧!P283</f>
        <v>0</v>
      </c>
      <c r="L283">
        <f>装備閲覧!R283</f>
        <v>1</v>
      </c>
      <c r="M283">
        <f>装備閲覧!S283</f>
        <v>0</v>
      </c>
      <c r="N283" t="str">
        <f>装備閲覧!T283</f>
        <v>短</v>
      </c>
      <c r="O283">
        <f>装備閲覧!AA283</f>
        <v>0</v>
      </c>
      <c r="P283" s="1" t="str">
        <f>IFERROR(IFERROR(VLOOKUP(C283,改修!A:B,2,0),_xlfn.NUMBERVALUE(VLOOKUP(C283,特殊改修値!C:D,2,0))),"×")</f>
        <v>〇</v>
      </c>
      <c r="Q283" t="str">
        <f>IFERROR(VLOOKUP(C283,装備ボーナス!B:C,2,0),"×")</f>
        <v>×</v>
      </c>
      <c r="R283" t="str">
        <f>VLOOKUP(A283,wikiName!A:B,2,0)</f>
        <v>5inch単装砲 Mk.30</v>
      </c>
    </row>
    <row r="284" spans="1:18" x14ac:dyDescent="0.4">
      <c r="A284">
        <f>装備閲覧!B284</f>
        <v>285</v>
      </c>
      <c r="B284" t="str">
        <f>装備閲覧!C284</f>
        <v>魚雷</v>
      </c>
      <c r="C284" t="str">
        <f>装備閲覧!D284</f>
        <v>61cm三連装(酸素)魚雷後期型</v>
      </c>
      <c r="D284">
        <f>装備閲覧!H284</f>
        <v>5</v>
      </c>
      <c r="E284">
        <f>装備閲覧!J284</f>
        <v>0</v>
      </c>
      <c r="F284">
        <f>装備閲覧!K284</f>
        <v>9</v>
      </c>
      <c r="G284">
        <f>装備閲覧!L284</f>
        <v>0</v>
      </c>
      <c r="H284">
        <f>装備閲覧!M284</f>
        <v>1</v>
      </c>
      <c r="I284">
        <f>装備閲覧!N284</f>
        <v>0</v>
      </c>
      <c r="J284">
        <f>装備閲覧!O284</f>
        <v>2</v>
      </c>
      <c r="K284">
        <f>装備閲覧!P284</f>
        <v>0</v>
      </c>
      <c r="L284">
        <f>装備閲覧!R284</f>
        <v>2</v>
      </c>
      <c r="M284">
        <f>装備閲覧!S284</f>
        <v>0</v>
      </c>
      <c r="N284" t="str">
        <f>装備閲覧!T284</f>
        <v>短</v>
      </c>
      <c r="O284">
        <f>装備閲覧!AA284</f>
        <v>0</v>
      </c>
      <c r="P284" s="1" t="str">
        <f>IFERROR(IFERROR(VLOOKUP(C284,改修!A:B,2,0),_xlfn.NUMBERVALUE(VLOOKUP(C284,特殊改修値!C:D,2,0))),"×")</f>
        <v>〇</v>
      </c>
      <c r="Q284" t="str">
        <f>IFERROR(VLOOKUP(C284,装備ボーナス!B:C,2,0),"×")</f>
        <v>〇</v>
      </c>
      <c r="R284" t="str">
        <f>VLOOKUP(A284,wikiName!A:B,2,0)</f>
        <v>61cm三連装(酸素)魚雷後期型</v>
      </c>
    </row>
    <row r="285" spans="1:18" x14ac:dyDescent="0.4">
      <c r="A285">
        <f>装備閲覧!B285</f>
        <v>286</v>
      </c>
      <c r="B285" t="str">
        <f>装備閲覧!C285</f>
        <v>魚雷</v>
      </c>
      <c r="C285" t="str">
        <f>装備閲覧!D285</f>
        <v>61cm四連装(酸素)魚雷後期型</v>
      </c>
      <c r="D285">
        <f>装備閲覧!H285</f>
        <v>5</v>
      </c>
      <c r="E285">
        <f>装備閲覧!J285</f>
        <v>0</v>
      </c>
      <c r="F285">
        <f>装備閲覧!K285</f>
        <v>11</v>
      </c>
      <c r="G285">
        <f>装備閲覧!L285</f>
        <v>0</v>
      </c>
      <c r="H285">
        <f>装備閲覧!M285</f>
        <v>1</v>
      </c>
      <c r="I285">
        <f>装備閲覧!N285</f>
        <v>0</v>
      </c>
      <c r="J285">
        <f>装備閲覧!O285</f>
        <v>0</v>
      </c>
      <c r="K285">
        <f>装備閲覧!P285</f>
        <v>0</v>
      </c>
      <c r="L285">
        <f>装備閲覧!R285</f>
        <v>2</v>
      </c>
      <c r="M285">
        <f>装備閲覧!S285</f>
        <v>0</v>
      </c>
      <c r="N285" t="str">
        <f>装備閲覧!T285</f>
        <v>短</v>
      </c>
      <c r="O285">
        <f>装備閲覧!AA285</f>
        <v>0</v>
      </c>
      <c r="P285" s="1" t="str">
        <f>IFERROR(IFERROR(VLOOKUP(C285,改修!A:B,2,0),_xlfn.NUMBERVALUE(VLOOKUP(C285,特殊改修値!C:D,2,0))),"×")</f>
        <v>〇</v>
      </c>
      <c r="Q285" t="str">
        <f>IFERROR(VLOOKUP(C285,装備ボーナス!B:C,2,0),"×")</f>
        <v>〇</v>
      </c>
      <c r="R285" t="str">
        <f>VLOOKUP(A285,wikiName!A:B,2,0)</f>
        <v>61cm四連装(酸素)魚雷後期型</v>
      </c>
    </row>
    <row r="286" spans="1:18" x14ac:dyDescent="0.4">
      <c r="A286">
        <f>装備閲覧!B286</f>
        <v>287</v>
      </c>
      <c r="B286" t="str">
        <f>装備閲覧!C286</f>
        <v>爆雷</v>
      </c>
      <c r="C286" t="str">
        <f>装備閲覧!D286</f>
        <v>三式爆雷投射機 集中配備</v>
      </c>
      <c r="D286">
        <f>装備閲覧!H286</f>
        <v>17</v>
      </c>
      <c r="E286">
        <f>装備閲覧!J286</f>
        <v>0</v>
      </c>
      <c r="F286">
        <f>装備閲覧!K286</f>
        <v>0</v>
      </c>
      <c r="G286">
        <f>装備閲覧!L286</f>
        <v>0</v>
      </c>
      <c r="H286">
        <f>装備閲覧!M286</f>
        <v>0</v>
      </c>
      <c r="I286">
        <f>装備閲覧!N286</f>
        <v>12</v>
      </c>
      <c r="J286">
        <f>装備閲覧!O286</f>
        <v>0</v>
      </c>
      <c r="K286">
        <f>装備閲覧!P286</f>
        <v>0</v>
      </c>
      <c r="L286">
        <f>装備閲覧!R286</f>
        <v>0</v>
      </c>
      <c r="M286">
        <f>装備閲覧!S286</f>
        <v>0</v>
      </c>
      <c r="N286" t="str">
        <f>装備閲覧!T286</f>
        <v>無</v>
      </c>
      <c r="O286">
        <f>装備閲覧!AA286</f>
        <v>0</v>
      </c>
      <c r="P286" s="1" t="str">
        <f>IFERROR(IFERROR(VLOOKUP(C286,改修!A:B,2,0),_xlfn.NUMBERVALUE(VLOOKUP(C286,特殊改修値!C:D,2,0))),"×")</f>
        <v>×</v>
      </c>
      <c r="Q286" t="str">
        <f>IFERROR(VLOOKUP(C286,装備ボーナス!B:C,2,0),"×")</f>
        <v>〇</v>
      </c>
      <c r="R286" t="str">
        <f>VLOOKUP(A286,wikiName!A:B,2,0)</f>
        <v>三式爆雷投射機 集中配備</v>
      </c>
    </row>
    <row r="287" spans="1:18" x14ac:dyDescent="0.4">
      <c r="A287">
        <f>装備閲覧!B287</f>
        <v>288</v>
      </c>
      <c r="B287" t="str">
        <f>装備閲覧!C287</f>
        <v>爆雷</v>
      </c>
      <c r="C287" t="str">
        <f>装備閲覧!D287</f>
        <v>試製15cm9連装対潜噴進砲</v>
      </c>
      <c r="D287">
        <f>装備閲覧!H287</f>
        <v>17</v>
      </c>
      <c r="E287">
        <f>装備閲覧!J287</f>
        <v>0</v>
      </c>
      <c r="F287">
        <f>装備閲覧!K287</f>
        <v>0</v>
      </c>
      <c r="G287">
        <f>装備閲覧!L287</f>
        <v>0</v>
      </c>
      <c r="H287">
        <f>装備閲覧!M287</f>
        <v>0</v>
      </c>
      <c r="I287">
        <f>装備閲覧!N287</f>
        <v>15</v>
      </c>
      <c r="J287">
        <f>装備閲覧!O287</f>
        <v>0</v>
      </c>
      <c r="K287">
        <f>装備閲覧!P287</f>
        <v>0</v>
      </c>
      <c r="L287">
        <f>装備閲覧!R287</f>
        <v>1</v>
      </c>
      <c r="M287">
        <f>装備閲覧!S287</f>
        <v>0</v>
      </c>
      <c r="N287" t="str">
        <f>装備閲覧!T287</f>
        <v>無</v>
      </c>
      <c r="O287">
        <f>装備閲覧!AA287</f>
        <v>0</v>
      </c>
      <c r="P287" s="1" t="str">
        <f>IFERROR(IFERROR(VLOOKUP(C287,改修!A:B,2,0),_xlfn.NUMBERVALUE(VLOOKUP(C287,特殊改修値!C:D,2,0))),"×")</f>
        <v>×</v>
      </c>
      <c r="Q287" t="str">
        <f>IFERROR(VLOOKUP(C287,装備ボーナス!B:C,2,0),"×")</f>
        <v>〇</v>
      </c>
      <c r="R287" t="str">
        <f>VLOOKUP(A287,wikiName!A:B,2,0)</f>
        <v>試製15cm9連装対潜噴進砲</v>
      </c>
    </row>
    <row r="288" spans="1:18" x14ac:dyDescent="0.4">
      <c r="A288">
        <f>装備閲覧!B288</f>
        <v>289</v>
      </c>
      <c r="B288" t="str">
        <f>装備閲覧!C288</f>
        <v>大口径主砲</v>
      </c>
      <c r="C288" t="str">
        <f>装備閲覧!D288</f>
        <v>35.6cm三連装砲改(ダズル迷彩仕様)</v>
      </c>
      <c r="D288">
        <f>装備閲覧!H288</f>
        <v>3</v>
      </c>
      <c r="E288">
        <f>装備閲覧!J288</f>
        <v>19</v>
      </c>
      <c r="F288">
        <f>装備閲覧!K288</f>
        <v>0</v>
      </c>
      <c r="G288">
        <f>装備閲覧!L288</f>
        <v>5</v>
      </c>
      <c r="H288">
        <f>装備閲覧!M288</f>
        <v>0</v>
      </c>
      <c r="I288">
        <f>装備閲覧!N288</f>
        <v>0</v>
      </c>
      <c r="J288">
        <f>装備閲覧!O288</f>
        <v>2</v>
      </c>
      <c r="K288">
        <f>装備閲覧!P288</f>
        <v>0</v>
      </c>
      <c r="L288">
        <f>装備閲覧!R288</f>
        <v>3</v>
      </c>
      <c r="M288">
        <f>装備閲覧!S288</f>
        <v>0</v>
      </c>
      <c r="N288" t="str">
        <f>装備閲覧!T288</f>
        <v>長</v>
      </c>
      <c r="O288">
        <f>装備閲覧!AA288</f>
        <v>0</v>
      </c>
      <c r="P288" s="1">
        <f>IFERROR(IFERROR(VLOOKUP(C288,改修!A:B,2,0),_xlfn.NUMBERVALUE(VLOOKUP(C288,特殊改修値!C:D,2,0))),"×")</f>
        <v>4</v>
      </c>
      <c r="Q288" t="str">
        <f>IFERROR(VLOOKUP(C288,装備ボーナス!B:C,2,0),"×")</f>
        <v>〇</v>
      </c>
      <c r="R288" t="str">
        <f>VLOOKUP(A288,wikiName!A:B,2,0)</f>
        <v>35.6cm三連装砲改(ダズル迷彩仕様)</v>
      </c>
    </row>
    <row r="289" spans="1:18" x14ac:dyDescent="0.4">
      <c r="A289">
        <f>装備閲覧!B289</f>
        <v>290</v>
      </c>
      <c r="B289" t="str">
        <f>装備閲覧!C289</f>
        <v>大口径主砲</v>
      </c>
      <c r="C289" t="str">
        <f>装備閲覧!D289</f>
        <v>41cm三連装砲改二</v>
      </c>
      <c r="D289">
        <f>装備閲覧!H289</f>
        <v>3</v>
      </c>
      <c r="E289">
        <f>装備閲覧!J289</f>
        <v>23</v>
      </c>
      <c r="F289">
        <f>装備閲覧!K289</f>
        <v>0</v>
      </c>
      <c r="G289">
        <f>装備閲覧!L289</f>
        <v>6</v>
      </c>
      <c r="H289">
        <f>装備閲覧!M289</f>
        <v>0</v>
      </c>
      <c r="I289">
        <f>装備閲覧!N289</f>
        <v>0</v>
      </c>
      <c r="J289">
        <f>装備閲覧!O289</f>
        <v>0</v>
      </c>
      <c r="K289">
        <f>装備閲覧!P289</f>
        <v>0</v>
      </c>
      <c r="L289">
        <f>装備閲覧!R289</f>
        <v>5</v>
      </c>
      <c r="M289">
        <f>装備閲覧!S289</f>
        <v>0</v>
      </c>
      <c r="N289" t="str">
        <f>装備閲覧!T289</f>
        <v>長</v>
      </c>
      <c r="O289">
        <f>装備閲覧!AA289</f>
        <v>0</v>
      </c>
      <c r="P289" s="1" t="str">
        <f>IFERROR(IFERROR(VLOOKUP(C289,改修!A:B,2,0),_xlfn.NUMBERVALUE(VLOOKUP(C289,特殊改修値!C:D,2,0))),"×")</f>
        <v>〇</v>
      </c>
      <c r="Q289" t="str">
        <f>IFERROR(VLOOKUP(C289,装備ボーナス!B:C,2,0),"×")</f>
        <v>〇</v>
      </c>
      <c r="R289" t="str">
        <f>VLOOKUP(A289,wikiName!A:B,2,0)</f>
        <v>41cm三連装砲改二</v>
      </c>
    </row>
    <row r="290" spans="1:18" x14ac:dyDescent="0.4">
      <c r="A290">
        <f>装備閲覧!B290</f>
        <v>291</v>
      </c>
      <c r="B290" t="str">
        <f>装備閲覧!C290</f>
        <v>艦上爆撃機</v>
      </c>
      <c r="C290" t="str">
        <f>装備閲覧!D290</f>
        <v>彗星二二型(六三四空)</v>
      </c>
      <c r="D290">
        <f>装備閲覧!H290</f>
        <v>7</v>
      </c>
      <c r="E290">
        <f>装備閲覧!J290</f>
        <v>0</v>
      </c>
      <c r="F290">
        <f>装備閲覧!K290</f>
        <v>0</v>
      </c>
      <c r="G290">
        <f>装備閲覧!L290</f>
        <v>1</v>
      </c>
      <c r="H290">
        <f>装備閲覧!M290</f>
        <v>0</v>
      </c>
      <c r="I290">
        <f>装備閲覧!N290</f>
        <v>4</v>
      </c>
      <c r="J290">
        <f>装備閲覧!O290</f>
        <v>0</v>
      </c>
      <c r="K290">
        <f>装備閲覧!P290</f>
        <v>0</v>
      </c>
      <c r="L290">
        <f>装備閲覧!R290</f>
        <v>2</v>
      </c>
      <c r="M290">
        <f>装備閲覧!S290</f>
        <v>11</v>
      </c>
      <c r="N290" t="str">
        <f>装備閲覧!T290</f>
        <v>長</v>
      </c>
      <c r="O290">
        <f>装備閲覧!AA290</f>
        <v>5</v>
      </c>
      <c r="P290" s="1" t="str">
        <f>IFERROR(IFERROR(VLOOKUP(C290,改修!A:B,2,0),_xlfn.NUMBERVALUE(VLOOKUP(C290,特殊改修値!C:D,2,0))),"×")</f>
        <v>×</v>
      </c>
      <c r="Q290" t="str">
        <f>IFERROR(VLOOKUP(C290,装備ボーナス!B:C,2,0),"×")</f>
        <v>〇</v>
      </c>
      <c r="R290" t="str">
        <f>VLOOKUP(A290,wikiName!A:B,2,0)</f>
        <v>彗星二二型(六三四空)</v>
      </c>
    </row>
    <row r="291" spans="1:18" x14ac:dyDescent="0.4">
      <c r="A291">
        <f>装備閲覧!B291</f>
        <v>292</v>
      </c>
      <c r="B291" t="str">
        <f>装備閲覧!C291</f>
        <v>艦上爆撃機</v>
      </c>
      <c r="C291" t="str">
        <f>装備閲覧!D291</f>
        <v>彗星二二型(六三四空/熟練)</v>
      </c>
      <c r="D291">
        <f>装備閲覧!H291</f>
        <v>7</v>
      </c>
      <c r="E291">
        <f>装備閲覧!J291</f>
        <v>0</v>
      </c>
      <c r="F291">
        <f>装備閲覧!K291</f>
        <v>0</v>
      </c>
      <c r="G291">
        <f>装備閲覧!L291</f>
        <v>2</v>
      </c>
      <c r="H291">
        <f>装備閲覧!M291</f>
        <v>0</v>
      </c>
      <c r="I291">
        <f>装備閲覧!N291</f>
        <v>5</v>
      </c>
      <c r="J291">
        <f>装備閲覧!O291</f>
        <v>0</v>
      </c>
      <c r="K291">
        <f>装備閲覧!P291</f>
        <v>2</v>
      </c>
      <c r="L291">
        <f>装備閲覧!R291</f>
        <v>3</v>
      </c>
      <c r="M291">
        <f>装備閲覧!S291</f>
        <v>12</v>
      </c>
      <c r="N291" t="str">
        <f>装備閲覧!T291</f>
        <v>長</v>
      </c>
      <c r="O291">
        <f>装備閲覧!AA291</f>
        <v>6</v>
      </c>
      <c r="P291" s="1" t="str">
        <f>IFERROR(IFERROR(VLOOKUP(C291,改修!A:B,2,0),_xlfn.NUMBERVALUE(VLOOKUP(C291,特殊改修値!C:D,2,0))),"×")</f>
        <v>×</v>
      </c>
      <c r="Q291" t="str">
        <f>IFERROR(VLOOKUP(C291,装備ボーナス!B:C,2,0),"×")</f>
        <v>〇</v>
      </c>
      <c r="R291" t="str">
        <f>VLOOKUP(A291,wikiName!A:B,2,0)</f>
        <v>彗星二二型(六三四空／熟練)</v>
      </c>
    </row>
    <row r="292" spans="1:18" x14ac:dyDescent="0.4">
      <c r="A292">
        <f>装備閲覧!B292</f>
        <v>293</v>
      </c>
      <c r="B292" t="str">
        <f>装備閲覧!C292</f>
        <v>小口径主砲</v>
      </c>
      <c r="C292" t="str">
        <f>装備閲覧!D292</f>
        <v>12cm単装砲改二</v>
      </c>
      <c r="D292">
        <f>装備閲覧!H292</f>
        <v>1</v>
      </c>
      <c r="E292">
        <f>装備閲覧!J292</f>
        <v>1</v>
      </c>
      <c r="F292">
        <f>装備閲覧!K292</f>
        <v>0</v>
      </c>
      <c r="G292">
        <f>装備閲覧!L292</f>
        <v>0</v>
      </c>
      <c r="H292">
        <f>装備閲覧!M292</f>
        <v>1</v>
      </c>
      <c r="I292">
        <f>装備閲覧!N292</f>
        <v>0</v>
      </c>
      <c r="J292">
        <f>装備閲覧!O292</f>
        <v>1</v>
      </c>
      <c r="K292">
        <f>装備閲覧!P292</f>
        <v>0</v>
      </c>
      <c r="L292">
        <f>装備閲覧!R292</f>
        <v>1</v>
      </c>
      <c r="M292">
        <f>装備閲覧!S292</f>
        <v>0</v>
      </c>
      <c r="N292" t="str">
        <f>装備閲覧!T292</f>
        <v>短</v>
      </c>
      <c r="O292">
        <f>装備閲覧!AA292</f>
        <v>0</v>
      </c>
      <c r="P292" s="1" t="str">
        <f>IFERROR(IFERROR(VLOOKUP(C292,改修!A:B,2,0),_xlfn.NUMBERVALUE(VLOOKUP(C292,特殊改修値!C:D,2,0))),"×")</f>
        <v>〇</v>
      </c>
      <c r="Q292" t="str">
        <f>IFERROR(VLOOKUP(C292,装備ボーナス!B:C,2,0),"×")</f>
        <v>〇</v>
      </c>
      <c r="R292" t="str">
        <f>VLOOKUP(A292,wikiName!A:B,2,0)</f>
        <v>12cm単装砲改二</v>
      </c>
    </row>
    <row r="293" spans="1:18" x14ac:dyDescent="0.4">
      <c r="A293">
        <f>装備閲覧!B293</f>
        <v>294</v>
      </c>
      <c r="B293" t="str">
        <f>装備閲覧!C293</f>
        <v>小口径主砲</v>
      </c>
      <c r="C293" t="str">
        <f>装備閲覧!D293</f>
        <v>12.7cm連装砲A型改二</v>
      </c>
      <c r="D293">
        <f>装備閲覧!H293</f>
        <v>1</v>
      </c>
      <c r="E293">
        <f>装備閲覧!J293</f>
        <v>2</v>
      </c>
      <c r="F293">
        <f>装備閲覧!K293</f>
        <v>0</v>
      </c>
      <c r="G293">
        <f>装備閲覧!L293</f>
        <v>1</v>
      </c>
      <c r="H293">
        <f>装備閲覧!M293</f>
        <v>1</v>
      </c>
      <c r="I293">
        <f>装備閲覧!N293</f>
        <v>0</v>
      </c>
      <c r="J293">
        <f>装備閲覧!O293</f>
        <v>0</v>
      </c>
      <c r="K293">
        <f>装備閲覧!P293</f>
        <v>0</v>
      </c>
      <c r="L293">
        <f>装備閲覧!R293</f>
        <v>1</v>
      </c>
      <c r="M293">
        <f>装備閲覧!S293</f>
        <v>0</v>
      </c>
      <c r="N293" t="str">
        <f>装備閲覧!T293</f>
        <v>短</v>
      </c>
      <c r="O293">
        <f>装備閲覧!AA293</f>
        <v>0</v>
      </c>
      <c r="P293" s="1" t="str">
        <f>IFERROR(IFERROR(VLOOKUP(C293,改修!A:B,2,0),_xlfn.NUMBERVALUE(VLOOKUP(C293,特殊改修値!C:D,2,0))),"×")</f>
        <v>〇</v>
      </c>
      <c r="Q293" t="str">
        <f>IFERROR(VLOOKUP(C293,装備ボーナス!B:C,2,0),"×")</f>
        <v>〇</v>
      </c>
      <c r="R293" t="str">
        <f>VLOOKUP(A293,wikiName!A:B,2,0)</f>
        <v>12.7cm連装砲A型改二</v>
      </c>
    </row>
    <row r="294" spans="1:18" x14ac:dyDescent="0.4">
      <c r="A294">
        <f>装備閲覧!B294</f>
        <v>295</v>
      </c>
      <c r="B294" t="str">
        <f>装備閲覧!C294</f>
        <v>小口径主砲</v>
      </c>
      <c r="C294" t="str">
        <f>装備閲覧!D294</f>
        <v>12.7cm連装砲A型改三(戦時改修)+高射装置</v>
      </c>
      <c r="D294">
        <f>装備閲覧!H294</f>
        <v>16</v>
      </c>
      <c r="E294">
        <f>装備閲覧!J294</f>
        <v>2</v>
      </c>
      <c r="F294">
        <f>装備閲覧!K294</f>
        <v>0</v>
      </c>
      <c r="G294">
        <f>装備閲覧!L294</f>
        <v>8</v>
      </c>
      <c r="H294">
        <f>装備閲覧!M294</f>
        <v>1</v>
      </c>
      <c r="I294">
        <f>装備閲覧!N294</f>
        <v>0</v>
      </c>
      <c r="J294">
        <f>装備閲覧!O294</f>
        <v>0</v>
      </c>
      <c r="K294">
        <f>装備閲覧!P294</f>
        <v>0</v>
      </c>
      <c r="L294">
        <f>装備閲覧!R294</f>
        <v>1</v>
      </c>
      <c r="M294">
        <f>装備閲覧!S294</f>
        <v>0</v>
      </c>
      <c r="N294" t="str">
        <f>装備閲覧!T294</f>
        <v>短</v>
      </c>
      <c r="O294">
        <f>装備閲覧!AA294</f>
        <v>0</v>
      </c>
      <c r="P294" s="1" t="str">
        <f>IFERROR(IFERROR(VLOOKUP(C294,改修!A:B,2,0),_xlfn.NUMBERVALUE(VLOOKUP(C294,特殊改修値!C:D,2,0))),"×")</f>
        <v>〇</v>
      </c>
      <c r="Q294" t="str">
        <f>IFERROR(VLOOKUP(C294,装備ボーナス!B:C,2,0),"×")</f>
        <v>〇</v>
      </c>
      <c r="R294" t="str">
        <f>VLOOKUP(A294,wikiName!A:B,2,0)</f>
        <v>12.7cm連装砲A型改三(戦時改修)＋高射装置</v>
      </c>
    </row>
    <row r="295" spans="1:18" x14ac:dyDescent="0.4">
      <c r="A295">
        <f>装備閲覧!B295</f>
        <v>296</v>
      </c>
      <c r="B295" t="str">
        <f>装備閲覧!C295</f>
        <v>小口径主砲</v>
      </c>
      <c r="C295" t="str">
        <f>装備閲覧!D295</f>
        <v>12.7cm連装砲B型改四(戦時改修)+高射装置</v>
      </c>
      <c r="D295">
        <f>装備閲覧!H295</f>
        <v>16</v>
      </c>
      <c r="E295">
        <f>装備閲覧!J295</f>
        <v>3</v>
      </c>
      <c r="F295">
        <f>装備閲覧!K295</f>
        <v>0</v>
      </c>
      <c r="G295">
        <f>装備閲覧!L295</f>
        <v>9</v>
      </c>
      <c r="H295">
        <f>装備閲覧!M295</f>
        <v>1</v>
      </c>
      <c r="I295">
        <f>装備閲覧!N295</f>
        <v>0</v>
      </c>
      <c r="J295">
        <f>装備閲覧!O295</f>
        <v>0</v>
      </c>
      <c r="K295">
        <f>装備閲覧!P295</f>
        <v>0</v>
      </c>
      <c r="L295">
        <f>装備閲覧!R295</f>
        <v>1</v>
      </c>
      <c r="M295">
        <f>装備閲覧!S295</f>
        <v>0</v>
      </c>
      <c r="N295" t="str">
        <f>装備閲覧!T295</f>
        <v>短</v>
      </c>
      <c r="O295">
        <f>装備閲覧!AA295</f>
        <v>0</v>
      </c>
      <c r="P295" s="1" t="str">
        <f>IFERROR(IFERROR(VLOOKUP(C295,改修!A:B,2,0),_xlfn.NUMBERVALUE(VLOOKUP(C295,特殊改修値!C:D,2,0))),"×")</f>
        <v>〇</v>
      </c>
      <c r="Q295" t="str">
        <f>IFERROR(VLOOKUP(C295,装備ボーナス!B:C,2,0),"×")</f>
        <v>〇</v>
      </c>
      <c r="R295" t="str">
        <f>VLOOKUP(A295,wikiName!A:B,2,0)</f>
        <v>12.7cm連装砲B型改四(戦時改修)＋高射装置</v>
      </c>
    </row>
    <row r="296" spans="1:18" x14ac:dyDescent="0.4">
      <c r="A296">
        <f>装備閲覧!B296</f>
        <v>297</v>
      </c>
      <c r="B296" t="str">
        <f>装備閲覧!C296</f>
        <v>小口径主砲</v>
      </c>
      <c r="C296" t="str">
        <f>装備閲覧!D296</f>
        <v>12.7cm連装砲A型</v>
      </c>
      <c r="D296">
        <f>装備閲覧!H296</f>
        <v>1</v>
      </c>
      <c r="E296">
        <f>装備閲覧!J296</f>
        <v>2</v>
      </c>
      <c r="F296">
        <f>装備閲覧!K296</f>
        <v>0</v>
      </c>
      <c r="G296">
        <f>装備閲覧!L296</f>
        <v>1</v>
      </c>
      <c r="H296">
        <f>装備閲覧!M296</f>
        <v>0</v>
      </c>
      <c r="I296">
        <f>装備閲覧!N296</f>
        <v>0</v>
      </c>
      <c r="J296">
        <f>装備閲覧!O296</f>
        <v>0</v>
      </c>
      <c r="K296">
        <f>装備閲覧!P296</f>
        <v>0</v>
      </c>
      <c r="L296">
        <f>装備閲覧!R296</f>
        <v>0</v>
      </c>
      <c r="M296">
        <f>装備閲覧!S296</f>
        <v>0</v>
      </c>
      <c r="N296" t="str">
        <f>装備閲覧!T296</f>
        <v>短</v>
      </c>
      <c r="O296">
        <f>装備閲覧!AA296</f>
        <v>0</v>
      </c>
      <c r="P296" s="1" t="str">
        <f>IFERROR(IFERROR(VLOOKUP(C296,改修!A:B,2,0),_xlfn.NUMBERVALUE(VLOOKUP(C296,特殊改修値!C:D,2,0))),"×")</f>
        <v>〇</v>
      </c>
      <c r="Q296" t="str">
        <f>IFERROR(VLOOKUP(C296,装備ボーナス!B:C,2,0),"×")</f>
        <v>〇</v>
      </c>
      <c r="R296" t="str">
        <f>VLOOKUP(A296,wikiName!A:B,2,0)</f>
        <v>12.7cm連装砲A型</v>
      </c>
    </row>
    <row r="297" spans="1:18" x14ac:dyDescent="0.4">
      <c r="A297">
        <f>装備閲覧!B297</f>
        <v>298</v>
      </c>
      <c r="B297" t="str">
        <f>装備閲覧!C297</f>
        <v>大口径主砲</v>
      </c>
      <c r="C297" t="str">
        <f>装備閲覧!D297</f>
        <v>16inch Mk.I三連装砲</v>
      </c>
      <c r="D297">
        <f>装備閲覧!H297</f>
        <v>3</v>
      </c>
      <c r="E297">
        <f>装備閲覧!J297</f>
        <v>21</v>
      </c>
      <c r="F297">
        <f>装備閲覧!K297</f>
        <v>0</v>
      </c>
      <c r="G297">
        <f>装備閲覧!L297</f>
        <v>0</v>
      </c>
      <c r="H297">
        <f>装備閲覧!M297</f>
        <v>1</v>
      </c>
      <c r="I297">
        <f>装備閲覧!N297</f>
        <v>0</v>
      </c>
      <c r="J297">
        <f>装備閲覧!O297</f>
        <v>0</v>
      </c>
      <c r="K297">
        <f>装備閲覧!P297</f>
        <v>0</v>
      </c>
      <c r="L297">
        <f>装備閲覧!R297</f>
        <v>2</v>
      </c>
      <c r="M297">
        <f>装備閲覧!S297</f>
        <v>0</v>
      </c>
      <c r="N297" t="str">
        <f>装備閲覧!T297</f>
        <v>長</v>
      </c>
      <c r="O297">
        <f>装備閲覧!AA297</f>
        <v>0</v>
      </c>
      <c r="P297" s="1" t="str">
        <f>IFERROR(IFERROR(VLOOKUP(C297,改修!A:B,2,0),_xlfn.NUMBERVALUE(VLOOKUP(C297,特殊改修値!C:D,2,0))),"×")</f>
        <v>×</v>
      </c>
      <c r="Q297" t="str">
        <f>IFERROR(VLOOKUP(C297,装備ボーナス!B:C,2,0),"×")</f>
        <v>〇</v>
      </c>
      <c r="R297" t="str">
        <f>VLOOKUP(A297,wikiName!A:B,2,0)</f>
        <v>16inch Mk.I三連装砲</v>
      </c>
    </row>
    <row r="298" spans="1:18" x14ac:dyDescent="0.4">
      <c r="A298">
        <f>装備閲覧!B298</f>
        <v>299</v>
      </c>
      <c r="B298" t="str">
        <f>装備閲覧!C298</f>
        <v>大口径主砲</v>
      </c>
      <c r="C298" t="str">
        <f>装備閲覧!D298</f>
        <v>16inch Mk.I三連装砲+AFCT改</v>
      </c>
      <c r="D298">
        <f>装備閲覧!H298</f>
        <v>3</v>
      </c>
      <c r="E298">
        <f>装備閲覧!J298</f>
        <v>22</v>
      </c>
      <c r="F298">
        <f>装備閲覧!K298</f>
        <v>0</v>
      </c>
      <c r="G298">
        <f>装備閲覧!L298</f>
        <v>0</v>
      </c>
      <c r="H298">
        <f>装備閲覧!M298</f>
        <v>1</v>
      </c>
      <c r="I298">
        <f>装備閲覧!N298</f>
        <v>0</v>
      </c>
      <c r="J298">
        <f>装備閲覧!O298</f>
        <v>0</v>
      </c>
      <c r="K298">
        <f>装備閲覧!P298</f>
        <v>0</v>
      </c>
      <c r="L298">
        <f>装備閲覧!R298</f>
        <v>4</v>
      </c>
      <c r="M298">
        <f>装備閲覧!S298</f>
        <v>0</v>
      </c>
      <c r="N298" t="str">
        <f>装備閲覧!T298</f>
        <v>長</v>
      </c>
      <c r="O298">
        <f>装備閲覧!AA298</f>
        <v>0</v>
      </c>
      <c r="P298" s="1" t="str">
        <f>IFERROR(IFERROR(VLOOKUP(C298,改修!A:B,2,0),_xlfn.NUMBERVALUE(VLOOKUP(C298,特殊改修値!C:D,2,0))),"×")</f>
        <v>×</v>
      </c>
      <c r="Q298" t="str">
        <f>IFERROR(VLOOKUP(C298,装備ボーナス!B:C,2,0),"×")</f>
        <v>〇</v>
      </c>
      <c r="R298" t="str">
        <f>VLOOKUP(A298,wikiName!A:B,2,0)</f>
        <v>16inch Mk.I三連装砲＋AFCT改</v>
      </c>
    </row>
    <row r="299" spans="1:18" x14ac:dyDescent="0.4">
      <c r="A299">
        <f>装備閲覧!B299</f>
        <v>300</v>
      </c>
      <c r="B299" t="str">
        <f>装備閲覧!C299</f>
        <v>大口径主砲</v>
      </c>
      <c r="C299" t="str">
        <f>装備閲覧!D299</f>
        <v>16inch Mk.I三連装砲改+FCR type284</v>
      </c>
      <c r="D299">
        <f>装備閲覧!H299</f>
        <v>3</v>
      </c>
      <c r="E299">
        <f>装備閲覧!J299</f>
        <v>23</v>
      </c>
      <c r="F299">
        <f>装備閲覧!K299</f>
        <v>0</v>
      </c>
      <c r="G299">
        <f>装備閲覧!L299</f>
        <v>7</v>
      </c>
      <c r="H299">
        <f>装備閲覧!M299</f>
        <v>1</v>
      </c>
      <c r="I299">
        <f>装備閲覧!N299</f>
        <v>0</v>
      </c>
      <c r="J299">
        <f>装備閲覧!O299</f>
        <v>2</v>
      </c>
      <c r="K299">
        <f>装備閲覧!P299</f>
        <v>0</v>
      </c>
      <c r="L299">
        <f>装備閲覧!R299</f>
        <v>6</v>
      </c>
      <c r="M299">
        <f>装備閲覧!S299</f>
        <v>0</v>
      </c>
      <c r="N299" t="str">
        <f>装備閲覧!T299</f>
        <v>長</v>
      </c>
      <c r="O299">
        <f>装備閲覧!AA299</f>
        <v>0</v>
      </c>
      <c r="P299" s="1" t="str">
        <f>IFERROR(IFERROR(VLOOKUP(C299,改修!A:B,2,0),_xlfn.NUMBERVALUE(VLOOKUP(C299,特殊改修値!C:D,2,0))),"×")</f>
        <v>×</v>
      </c>
      <c r="Q299" t="str">
        <f>IFERROR(VLOOKUP(C299,装備ボーナス!B:C,2,0),"×")</f>
        <v>〇</v>
      </c>
      <c r="R299" t="str">
        <f>VLOOKUP(A299,wikiName!A:B,2,0)</f>
        <v>16inch Mk.I三連装砲改＋FCR type284</v>
      </c>
    </row>
    <row r="300" spans="1:18" x14ac:dyDescent="0.4">
      <c r="A300">
        <f>装備閲覧!B300</f>
        <v>301</v>
      </c>
      <c r="B300" t="str">
        <f>装備閲覧!C300</f>
        <v>対空機銃</v>
      </c>
      <c r="C300" t="str">
        <f>装備閲覧!D300</f>
        <v>20連装7inch UP Rocket Launchers</v>
      </c>
      <c r="D300">
        <f>装備閲覧!H300</f>
        <v>15</v>
      </c>
      <c r="E300">
        <f>装備閲覧!J300</f>
        <v>0</v>
      </c>
      <c r="F300">
        <f>装備閲覧!K300</f>
        <v>0</v>
      </c>
      <c r="G300">
        <f>装備閲覧!L300</f>
        <v>7</v>
      </c>
      <c r="H300">
        <f>装備閲覧!M300</f>
        <v>0</v>
      </c>
      <c r="I300">
        <f>装備閲覧!N300</f>
        <v>0</v>
      </c>
      <c r="J300">
        <f>装備閲覧!O300</f>
        <v>2</v>
      </c>
      <c r="K300">
        <f>装備閲覧!P300</f>
        <v>0</v>
      </c>
      <c r="L300">
        <f>装備閲覧!R300</f>
        <v>0</v>
      </c>
      <c r="M300">
        <f>装備閲覧!S300</f>
        <v>0</v>
      </c>
      <c r="N300" t="str">
        <f>装備閲覧!T300</f>
        <v>無</v>
      </c>
      <c r="O300">
        <f>装備閲覧!AA300</f>
        <v>0</v>
      </c>
      <c r="P300" s="1" t="str">
        <f>IFERROR(IFERROR(VLOOKUP(C300,改修!A:B,2,0),_xlfn.NUMBERVALUE(VLOOKUP(C300,特殊改修値!C:D,2,0))),"×")</f>
        <v>×</v>
      </c>
      <c r="Q300" t="str">
        <f>IFERROR(VLOOKUP(C300,装備ボーナス!B:C,2,0),"×")</f>
        <v>〇</v>
      </c>
      <c r="R300" t="str">
        <f>VLOOKUP(A300,wikiName!A:B,2,0)</f>
        <v>20連装7inch UP Rocket Launchers</v>
      </c>
    </row>
    <row r="301" spans="1:18" x14ac:dyDescent="0.4">
      <c r="A301">
        <f>装備閲覧!B301</f>
        <v>302</v>
      </c>
      <c r="B301" t="str">
        <f>装備閲覧!C301</f>
        <v>艦上攻撃機</v>
      </c>
      <c r="C301" t="str">
        <f>装備閲覧!D301</f>
        <v>九七式艦攻(九三一空/熟練)</v>
      </c>
      <c r="D301">
        <f>装備閲覧!H301</f>
        <v>8</v>
      </c>
      <c r="E301">
        <f>装備閲覧!J301</f>
        <v>0</v>
      </c>
      <c r="F301">
        <f>装備閲覧!K301</f>
        <v>8</v>
      </c>
      <c r="G301">
        <f>装備閲覧!L301</f>
        <v>0</v>
      </c>
      <c r="H301">
        <f>装備閲覧!M301</f>
        <v>0</v>
      </c>
      <c r="I301">
        <f>装備閲覧!N301</f>
        <v>9</v>
      </c>
      <c r="J301">
        <f>装備閲覧!O301</f>
        <v>1</v>
      </c>
      <c r="K301">
        <f>装備閲覧!P301</f>
        <v>3</v>
      </c>
      <c r="L301">
        <f>装備閲覧!R301</f>
        <v>2</v>
      </c>
      <c r="M301">
        <f>装備閲覧!S301</f>
        <v>0</v>
      </c>
      <c r="N301" t="str">
        <f>装備閲覧!T301</f>
        <v>無</v>
      </c>
      <c r="O301">
        <f>装備閲覧!AA301</f>
        <v>4</v>
      </c>
      <c r="P301" s="1" t="str">
        <f>IFERROR(IFERROR(VLOOKUP(C301,改修!A:B,2,0),_xlfn.NUMBERVALUE(VLOOKUP(C301,特殊改修値!C:D,2,0))),"×")</f>
        <v>×</v>
      </c>
      <c r="Q301" t="str">
        <f>IFERROR(VLOOKUP(C301,装備ボーナス!B:C,2,0),"×")</f>
        <v>〇</v>
      </c>
      <c r="R301" t="str">
        <f>VLOOKUP(A301,wikiName!A:B,2,0)</f>
        <v>九七式艦攻(九三一空／熟練)</v>
      </c>
    </row>
    <row r="302" spans="1:18" x14ac:dyDescent="0.4">
      <c r="A302">
        <f>装備閲覧!B302</f>
        <v>303</v>
      </c>
      <c r="B302" t="str">
        <f>装備閲覧!C302</f>
        <v>中口径主砲</v>
      </c>
      <c r="C302" t="str">
        <f>装備閲覧!D302</f>
        <v>Bofors 15.2cm連装砲 Model 1930</v>
      </c>
      <c r="D302">
        <f>装備閲覧!H302</f>
        <v>2</v>
      </c>
      <c r="E302">
        <f>装備閲覧!J302</f>
        <v>5</v>
      </c>
      <c r="F302">
        <f>装備閲覧!K302</f>
        <v>0</v>
      </c>
      <c r="G302">
        <f>装備閲覧!L302</f>
        <v>4</v>
      </c>
      <c r="H302">
        <f>装備閲覧!M302</f>
        <v>0</v>
      </c>
      <c r="I302">
        <f>装備閲覧!N302</f>
        <v>0</v>
      </c>
      <c r="J302">
        <f>装備閲覧!O302</f>
        <v>1</v>
      </c>
      <c r="K302">
        <f>装備閲覧!P302</f>
        <v>0</v>
      </c>
      <c r="L302">
        <f>装備閲覧!R302</f>
        <v>3</v>
      </c>
      <c r="M302">
        <f>装備閲覧!S302</f>
        <v>0</v>
      </c>
      <c r="N302" t="str">
        <f>装備閲覧!T302</f>
        <v>中</v>
      </c>
      <c r="O302">
        <f>装備閲覧!AA302</f>
        <v>0</v>
      </c>
      <c r="P302" s="1" t="str">
        <f>IFERROR(IFERROR(VLOOKUP(C302,改修!A:B,2,0),_xlfn.NUMBERVALUE(VLOOKUP(C302,特殊改修値!C:D,2,0))),"×")</f>
        <v>〇</v>
      </c>
      <c r="Q302" t="str">
        <f>IFERROR(VLOOKUP(C302,装備ボーナス!B:C,2,0),"×")</f>
        <v>〇</v>
      </c>
      <c r="R302" t="str">
        <f>VLOOKUP(A302,wikiName!A:B,2,0)</f>
        <v>Bofors15.2cm連装砲 Model1930</v>
      </c>
    </row>
    <row r="303" spans="1:18" x14ac:dyDescent="0.4">
      <c r="A303">
        <f>装備閲覧!B303</f>
        <v>304</v>
      </c>
      <c r="B303" t="str">
        <f>装備閲覧!C303</f>
        <v>水上偵察機</v>
      </c>
      <c r="C303" t="str">
        <f>装備閲覧!D303</f>
        <v>S9 Osprey</v>
      </c>
      <c r="D303">
        <f>装備閲覧!H303</f>
        <v>10</v>
      </c>
      <c r="E303">
        <f>装備閲覧!J303</f>
        <v>0</v>
      </c>
      <c r="F303">
        <f>装備閲覧!K303</f>
        <v>0</v>
      </c>
      <c r="G303">
        <f>装備閲覧!L303</f>
        <v>1</v>
      </c>
      <c r="H303">
        <f>装備閲覧!M303</f>
        <v>0</v>
      </c>
      <c r="I303">
        <f>装備閲覧!N303</f>
        <v>2</v>
      </c>
      <c r="J303">
        <f>装備閲覧!O303</f>
        <v>0</v>
      </c>
      <c r="K303">
        <f>装備閲覧!P303</f>
        <v>4</v>
      </c>
      <c r="L303">
        <f>装備閲覧!R303</f>
        <v>2</v>
      </c>
      <c r="M303">
        <f>装備閲覧!S303</f>
        <v>0</v>
      </c>
      <c r="N303" t="str">
        <f>装備閲覧!T303</f>
        <v>無</v>
      </c>
      <c r="O303">
        <f>装備閲覧!AA303</f>
        <v>3</v>
      </c>
      <c r="P303" s="1" t="str">
        <f>IFERROR(IFERROR(VLOOKUP(C303,改修!A:B,2,0),_xlfn.NUMBERVALUE(VLOOKUP(C303,特殊改修値!C:D,2,0))),"×")</f>
        <v>〇</v>
      </c>
      <c r="Q303" t="str">
        <f>IFERROR(VLOOKUP(C303,装備ボーナス!B:C,2,0),"×")</f>
        <v>〇</v>
      </c>
      <c r="R303" t="str">
        <f>VLOOKUP(A303,wikiName!A:B,2,0)</f>
        <v>S9 Osprey</v>
      </c>
    </row>
    <row r="304" spans="1:18" x14ac:dyDescent="0.4">
      <c r="A304">
        <f>装備閲覧!B304</f>
        <v>305</v>
      </c>
      <c r="B304" t="str">
        <f>装備閲覧!C304</f>
        <v>艦上爆撃機</v>
      </c>
      <c r="C304" t="str">
        <f>装備閲覧!D304</f>
        <v>Ju87C改二(KMX搭載機)</v>
      </c>
      <c r="D304">
        <f>装備閲覧!H304</f>
        <v>7</v>
      </c>
      <c r="E304">
        <f>装備閲覧!J304</f>
        <v>0</v>
      </c>
      <c r="F304">
        <f>装備閲覧!K304</f>
        <v>0</v>
      </c>
      <c r="G304">
        <f>装備閲覧!L304</f>
        <v>0</v>
      </c>
      <c r="H304">
        <f>装備閲覧!M304</f>
        <v>0</v>
      </c>
      <c r="I304">
        <f>装備閲覧!N304</f>
        <v>9</v>
      </c>
      <c r="J304">
        <f>装備閲覧!O304</f>
        <v>1</v>
      </c>
      <c r="K304">
        <f>装備閲覧!P304</f>
        <v>2</v>
      </c>
      <c r="L304">
        <f>装備閲覧!R304</f>
        <v>2</v>
      </c>
      <c r="M304">
        <f>装備閲覧!S304</f>
        <v>9</v>
      </c>
      <c r="N304" t="str">
        <f>装備閲覧!T304</f>
        <v>無</v>
      </c>
      <c r="O304">
        <f>装備閲覧!AA304</f>
        <v>4</v>
      </c>
      <c r="P304" s="1">
        <f>IFERROR(IFERROR(VLOOKUP(C304,改修!A:B,2,0),_xlfn.NUMBERVALUE(VLOOKUP(C304,特殊改修値!C:D,2,0))),"×")</f>
        <v>1</v>
      </c>
      <c r="Q304" t="str">
        <f>IFERROR(VLOOKUP(C304,装備ボーナス!B:C,2,0),"×")</f>
        <v>〇</v>
      </c>
      <c r="R304" t="str">
        <f>VLOOKUP(A304,wikiName!A:B,2,0)</f>
        <v>Ju87C改二(KMX搭載機)</v>
      </c>
    </row>
    <row r="305" spans="1:18" x14ac:dyDescent="0.4">
      <c r="A305">
        <f>装備閲覧!B305</f>
        <v>306</v>
      </c>
      <c r="B305" t="str">
        <f>装備閲覧!C305</f>
        <v>艦上爆撃機</v>
      </c>
      <c r="C305" t="str">
        <f>装備閲覧!D305</f>
        <v>Ju87C改二(KMX搭載機/熟練)</v>
      </c>
      <c r="D305">
        <f>装備閲覧!H305</f>
        <v>7</v>
      </c>
      <c r="E305">
        <f>装備閲覧!J305</f>
        <v>0</v>
      </c>
      <c r="F305">
        <f>装備閲覧!K305</f>
        <v>0</v>
      </c>
      <c r="G305">
        <f>装備閲覧!L305</f>
        <v>0</v>
      </c>
      <c r="H305">
        <f>装備閲覧!M305</f>
        <v>0</v>
      </c>
      <c r="I305">
        <f>装備閲覧!N305</f>
        <v>10</v>
      </c>
      <c r="J305">
        <f>装備閲覧!O305</f>
        <v>1</v>
      </c>
      <c r="K305">
        <f>装備閲覧!P305</f>
        <v>2</v>
      </c>
      <c r="L305">
        <f>装備閲覧!R305</f>
        <v>3</v>
      </c>
      <c r="M305">
        <f>装備閲覧!S305</f>
        <v>10</v>
      </c>
      <c r="N305" t="str">
        <f>装備閲覧!T305</f>
        <v>長</v>
      </c>
      <c r="O305">
        <f>装備閲覧!AA305</f>
        <v>4</v>
      </c>
      <c r="P305" s="1" t="str">
        <f>IFERROR(IFERROR(VLOOKUP(C305,改修!A:B,2,0),_xlfn.NUMBERVALUE(VLOOKUP(C305,特殊改修値!C:D,2,0))),"×")</f>
        <v>×</v>
      </c>
      <c r="Q305" t="str">
        <f>IFERROR(VLOOKUP(C305,装備ボーナス!B:C,2,0),"×")</f>
        <v>〇</v>
      </c>
      <c r="R305" t="str">
        <f>VLOOKUP(A305,wikiName!A:B,2,0)</f>
        <v>Ju87C改二(KMX搭載機／熟練)</v>
      </c>
    </row>
    <row r="306" spans="1:18" x14ac:dyDescent="0.4">
      <c r="A306">
        <f>装備閲覧!B306</f>
        <v>307</v>
      </c>
      <c r="B306" t="str">
        <f>装備閲覧!C306</f>
        <v>小型電探</v>
      </c>
      <c r="C306" t="str">
        <f>装備閲覧!D306</f>
        <v>GFCS Mk.37</v>
      </c>
      <c r="D306">
        <f>装備閲覧!H306</f>
        <v>11</v>
      </c>
      <c r="E306">
        <f>装備閲覧!J306</f>
        <v>2</v>
      </c>
      <c r="F306">
        <f>装備閲覧!K306</f>
        <v>0</v>
      </c>
      <c r="G306">
        <f>装備閲覧!L306</f>
        <v>7</v>
      </c>
      <c r="H306">
        <f>装備閲覧!M306</f>
        <v>1</v>
      </c>
      <c r="I306">
        <f>装備閲覧!N306</f>
        <v>0</v>
      </c>
      <c r="J306">
        <f>装備閲覧!O306</f>
        <v>2</v>
      </c>
      <c r="K306">
        <f>装備閲覧!P306</f>
        <v>6</v>
      </c>
      <c r="L306">
        <f>装備閲覧!R306</f>
        <v>9</v>
      </c>
      <c r="M306">
        <f>装備閲覧!S306</f>
        <v>0</v>
      </c>
      <c r="N306" t="str">
        <f>装備閲覧!T306</f>
        <v>中</v>
      </c>
      <c r="O306">
        <f>装備閲覧!AA306</f>
        <v>0</v>
      </c>
      <c r="P306" s="1" t="str">
        <f>IFERROR(IFERROR(VLOOKUP(C306,改修!A:B,2,0),_xlfn.NUMBERVALUE(VLOOKUP(C306,特殊改修値!C:D,2,0))),"×")</f>
        <v>×</v>
      </c>
      <c r="Q306" t="str">
        <f>IFERROR(VLOOKUP(C306,装備ボーナス!B:C,2,0),"×")</f>
        <v>〇</v>
      </c>
      <c r="R306" t="str">
        <f>VLOOKUP(A306,wikiName!A:B,2,0)</f>
        <v>GFCS Mk.37</v>
      </c>
    </row>
    <row r="307" spans="1:18" x14ac:dyDescent="0.4">
      <c r="A307">
        <f>装備閲覧!B307</f>
        <v>308</v>
      </c>
      <c r="B307" t="str">
        <f>装備閲覧!C307</f>
        <v>小口径主砲</v>
      </c>
      <c r="C307" t="str">
        <f>装備閲覧!D307</f>
        <v>5inch単装砲 Mk.30改+GFCS Mk.37</v>
      </c>
      <c r="D307">
        <f>装備閲覧!H307</f>
        <v>16</v>
      </c>
      <c r="E307">
        <f>装備閲覧!J307</f>
        <v>3</v>
      </c>
      <c r="F307">
        <f>装備閲覧!K307</f>
        <v>0</v>
      </c>
      <c r="G307">
        <f>装備閲覧!L307</f>
        <v>11</v>
      </c>
      <c r="H307">
        <f>装備閲覧!M307</f>
        <v>1</v>
      </c>
      <c r="I307">
        <f>装備閲覧!N307</f>
        <v>0</v>
      </c>
      <c r="J307">
        <f>装備閲覧!O307</f>
        <v>2</v>
      </c>
      <c r="K307">
        <f>装備閲覧!P307</f>
        <v>3</v>
      </c>
      <c r="L307">
        <f>装備閲覧!R307</f>
        <v>6</v>
      </c>
      <c r="M307">
        <f>装備閲覧!S307</f>
        <v>0</v>
      </c>
      <c r="N307" t="str">
        <f>装備閲覧!T307</f>
        <v>中</v>
      </c>
      <c r="O307">
        <f>装備閲覧!AA307</f>
        <v>0</v>
      </c>
      <c r="P307" s="1" t="str">
        <f>IFERROR(IFERROR(VLOOKUP(C307,改修!A:B,2,0),_xlfn.NUMBERVALUE(VLOOKUP(C307,特殊改修値!C:D,2,0))),"×")</f>
        <v>×</v>
      </c>
      <c r="Q307" t="str">
        <f>IFERROR(VLOOKUP(C307,装備ボーナス!B:C,2,0),"×")</f>
        <v>〇</v>
      </c>
      <c r="R307" t="str">
        <f>VLOOKUP(A307,wikiName!A:B,2,0)</f>
        <v>5inch単装砲 Mk.30改＋GFCS Mk.37</v>
      </c>
    </row>
    <row r="308" spans="1:18" x14ac:dyDescent="0.4">
      <c r="A308">
        <f>装備閲覧!B308</f>
        <v>309</v>
      </c>
      <c r="B308" t="str">
        <f>装備閲覧!C308</f>
        <v>特殊潜航艇</v>
      </c>
      <c r="C308" t="str">
        <f>装備閲覧!D308</f>
        <v>甲標的 丙型</v>
      </c>
      <c r="D308">
        <f>装備閲覧!H308</f>
        <v>5</v>
      </c>
      <c r="E308">
        <f>装備閲覧!J308</f>
        <v>0</v>
      </c>
      <c r="F308">
        <f>装備閲覧!K308</f>
        <v>14</v>
      </c>
      <c r="G308">
        <f>装備閲覧!L308</f>
        <v>0</v>
      </c>
      <c r="H308">
        <f>装備閲覧!M308</f>
        <v>0</v>
      </c>
      <c r="I308">
        <f>装備閲覧!N308</f>
        <v>0</v>
      </c>
      <c r="J308">
        <f>装備閲覧!O308</f>
        <v>1</v>
      </c>
      <c r="K308">
        <f>装備閲覧!P308</f>
        <v>0</v>
      </c>
      <c r="L308">
        <f>装備閲覧!R308</f>
        <v>1</v>
      </c>
      <c r="M308">
        <f>装備閲覧!S308</f>
        <v>0</v>
      </c>
      <c r="N308" t="str">
        <f>装備閲覧!T308</f>
        <v>無</v>
      </c>
      <c r="O308">
        <f>装備閲覧!AA308</f>
        <v>0</v>
      </c>
      <c r="P308" s="1">
        <f>IFERROR(IFERROR(VLOOKUP(C308,改修!A:B,2,0),_xlfn.NUMBERVALUE(VLOOKUP(C308,特殊改修値!C:D,2,0))),"×")</f>
        <v>4</v>
      </c>
      <c r="Q308" t="str">
        <f>IFERROR(VLOOKUP(C308,装備ボーナス!B:C,2,0),"×")</f>
        <v>×</v>
      </c>
      <c r="R308" t="str">
        <f>VLOOKUP(A308,wikiName!A:B,2,0)</f>
        <v>甲標的 丙型</v>
      </c>
    </row>
    <row r="309" spans="1:18" x14ac:dyDescent="0.4">
      <c r="A309">
        <f>装備閲覧!B309</f>
        <v>310</v>
      </c>
      <c r="B309" t="str">
        <f>装備閲覧!C309</f>
        <v>中口径主砲</v>
      </c>
      <c r="C309" t="str">
        <f>装備閲覧!D309</f>
        <v>14cm連装砲改</v>
      </c>
      <c r="D309">
        <f>装備閲覧!H309</f>
        <v>2</v>
      </c>
      <c r="E309">
        <f>装備閲覧!J309</f>
        <v>5</v>
      </c>
      <c r="F309">
        <f>装備閲覧!K309</f>
        <v>0</v>
      </c>
      <c r="G309">
        <f>装備閲覧!L309</f>
        <v>0</v>
      </c>
      <c r="H309">
        <f>装備閲覧!M309</f>
        <v>1</v>
      </c>
      <c r="I309">
        <f>装備閲覧!N309</f>
        <v>0</v>
      </c>
      <c r="J309">
        <f>装備閲覧!O309</f>
        <v>0</v>
      </c>
      <c r="K309">
        <f>装備閲覧!P309</f>
        <v>0</v>
      </c>
      <c r="L309">
        <f>装備閲覧!R309</f>
        <v>3</v>
      </c>
      <c r="M309">
        <f>装備閲覧!S309</f>
        <v>0</v>
      </c>
      <c r="N309" t="str">
        <f>装備閲覧!T309</f>
        <v>中</v>
      </c>
      <c r="O309">
        <f>装備閲覧!AA309</f>
        <v>0</v>
      </c>
      <c r="P309" s="1">
        <f>IFERROR(IFERROR(VLOOKUP(C309,改修!A:B,2,0),_xlfn.NUMBERVALUE(VLOOKUP(C309,特殊改修値!C:D,2,0))),"×")</f>
        <v>8</v>
      </c>
      <c r="Q309" t="str">
        <f>IFERROR(VLOOKUP(C309,装備ボーナス!B:C,2,0),"×")</f>
        <v>〇</v>
      </c>
      <c r="R309" t="str">
        <f>VLOOKUP(A309,wikiName!A:B,2,0)</f>
        <v>14cm連装砲改</v>
      </c>
    </row>
    <row r="310" spans="1:18" x14ac:dyDescent="0.4">
      <c r="A310">
        <f>装備閲覧!B310</f>
        <v>311</v>
      </c>
      <c r="B310" t="str">
        <f>装備閲覧!C310</f>
        <v>陸上偵察機</v>
      </c>
      <c r="C310" t="str">
        <f>装備閲覧!D310</f>
        <v>二式陸上偵察機</v>
      </c>
      <c r="D310">
        <f>装備閲覧!H310</f>
        <v>9</v>
      </c>
      <c r="E310">
        <f>装備閲覧!J310</f>
        <v>0</v>
      </c>
      <c r="F310">
        <f>装備閲覧!K310</f>
        <v>0</v>
      </c>
      <c r="G310">
        <f>装備閲覧!L310</f>
        <v>3</v>
      </c>
      <c r="H310">
        <f>装備閲覧!M310</f>
        <v>0</v>
      </c>
      <c r="I310">
        <f>装備閲覧!N310</f>
        <v>0</v>
      </c>
      <c r="J310">
        <f>装備閲覧!O310</f>
        <v>0</v>
      </c>
      <c r="K310">
        <f>装備閲覧!P310</f>
        <v>8</v>
      </c>
      <c r="L310">
        <f>装備閲覧!R310</f>
        <v>2</v>
      </c>
      <c r="M310">
        <f>装備閲覧!S310</f>
        <v>0</v>
      </c>
      <c r="N310" t="str">
        <f>装備閲覧!T310</f>
        <v>無</v>
      </c>
      <c r="O310">
        <f>装備閲覧!AA310</f>
        <v>8</v>
      </c>
      <c r="P310" s="1" t="str">
        <f>IFERROR(IFERROR(VLOOKUP(C310,改修!A:B,2,0),_xlfn.NUMBERVALUE(VLOOKUP(C310,特殊改修値!C:D,2,0))),"×")</f>
        <v>×</v>
      </c>
      <c r="Q310" t="str">
        <f>IFERROR(VLOOKUP(C310,装備ボーナス!B:C,2,0),"×")</f>
        <v>×</v>
      </c>
      <c r="R310" t="str">
        <f>VLOOKUP(A310,wikiName!A:B,2,0)</f>
        <v>二式陸上偵察機</v>
      </c>
    </row>
    <row r="311" spans="1:18" x14ac:dyDescent="0.4">
      <c r="A311">
        <f>装備閲覧!B311</f>
        <v>312</v>
      </c>
      <c r="B311" t="str">
        <f>装備閲覧!C311</f>
        <v>陸上偵察機</v>
      </c>
      <c r="C311" t="str">
        <f>装備閲覧!D311</f>
        <v>二式陸上偵察機(熟練)</v>
      </c>
      <c r="D311">
        <f>装備閲覧!H311</f>
        <v>9</v>
      </c>
      <c r="E311">
        <f>装備閲覧!J311</f>
        <v>0</v>
      </c>
      <c r="F311">
        <f>装備閲覧!K311</f>
        <v>0</v>
      </c>
      <c r="G311">
        <f>装備閲覧!L311</f>
        <v>3</v>
      </c>
      <c r="H311">
        <f>装備閲覧!M311</f>
        <v>1</v>
      </c>
      <c r="I311">
        <f>装備閲覧!N311</f>
        <v>0</v>
      </c>
      <c r="J311">
        <f>装備閲覧!O311</f>
        <v>0</v>
      </c>
      <c r="K311">
        <f>装備閲覧!P311</f>
        <v>9</v>
      </c>
      <c r="L311">
        <f>装備閲覧!R311</f>
        <v>3</v>
      </c>
      <c r="M311">
        <f>装備閲覧!S311</f>
        <v>0</v>
      </c>
      <c r="N311" t="str">
        <f>装備閲覧!T311</f>
        <v>無</v>
      </c>
      <c r="O311">
        <f>装備閲覧!AA311</f>
        <v>9</v>
      </c>
      <c r="P311" s="1">
        <f>IFERROR(IFERROR(VLOOKUP(C311,改修!A:B,2,0),_xlfn.NUMBERVALUE(VLOOKUP(C311,特殊改修値!C:D,2,0))),"×")</f>
        <v>2</v>
      </c>
      <c r="Q311" t="str">
        <f>IFERROR(VLOOKUP(C311,装備ボーナス!B:C,2,0),"×")</f>
        <v>×</v>
      </c>
      <c r="R311" t="str">
        <f>VLOOKUP(A311,wikiName!A:B,2,0)</f>
        <v>二式陸上偵察機(熟練)</v>
      </c>
    </row>
    <row r="312" spans="1:18" x14ac:dyDescent="0.4">
      <c r="A312">
        <f>装備閲覧!B312</f>
        <v>313</v>
      </c>
      <c r="B312" t="str">
        <f>装備閲覧!C312</f>
        <v>小口径主砲</v>
      </c>
      <c r="C312" t="str">
        <f>装備閲覧!D312</f>
        <v>5inch単装砲 Mk.30改</v>
      </c>
      <c r="D312">
        <f>装備閲覧!H312</f>
        <v>16</v>
      </c>
      <c r="E312">
        <f>装備閲覧!J312</f>
        <v>3</v>
      </c>
      <c r="F312">
        <f>装備閲覧!K312</f>
        <v>0</v>
      </c>
      <c r="G312">
        <f>装備閲覧!L312</f>
        <v>7</v>
      </c>
      <c r="H312">
        <f>装備閲覧!M312</f>
        <v>1</v>
      </c>
      <c r="I312">
        <f>装備閲覧!N312</f>
        <v>0</v>
      </c>
      <c r="J312">
        <f>装備閲覧!O312</f>
        <v>2</v>
      </c>
      <c r="K312">
        <f>装備閲覧!P312</f>
        <v>0</v>
      </c>
      <c r="L312">
        <f>装備閲覧!R312</f>
        <v>2</v>
      </c>
      <c r="M312">
        <f>装備閲覧!S312</f>
        <v>0</v>
      </c>
      <c r="N312" t="str">
        <f>装備閲覧!T312</f>
        <v>短</v>
      </c>
      <c r="O312">
        <f>装備閲覧!AA312</f>
        <v>0</v>
      </c>
      <c r="P312" s="1" t="str">
        <f>IFERROR(IFERROR(VLOOKUP(C312,改修!A:B,2,0),_xlfn.NUMBERVALUE(VLOOKUP(C312,特殊改修値!C:D,2,0))),"×")</f>
        <v>×</v>
      </c>
      <c r="Q312" t="str">
        <f>IFERROR(VLOOKUP(C312,装備ボーナス!B:C,2,0),"×")</f>
        <v>〇</v>
      </c>
      <c r="R312" t="str">
        <f>VLOOKUP(A312,wikiName!A:B,2,0)</f>
        <v>5inch単装砲 Mk.30 改</v>
      </c>
    </row>
    <row r="313" spans="1:18" x14ac:dyDescent="0.4">
      <c r="A313">
        <f>装備閲覧!B313</f>
        <v>314</v>
      </c>
      <c r="B313" t="str">
        <f>装備閲覧!C313</f>
        <v>魚雷</v>
      </c>
      <c r="C313" t="str">
        <f>装備閲覧!D313</f>
        <v>533mm五連装魚雷(初期型)</v>
      </c>
      <c r="D313">
        <f>装備閲覧!H313</f>
        <v>5</v>
      </c>
      <c r="E313">
        <f>装備閲覧!J313</f>
        <v>1</v>
      </c>
      <c r="F313">
        <f>装備閲覧!K313</f>
        <v>8</v>
      </c>
      <c r="G313">
        <f>装備閲覧!L313</f>
        <v>0</v>
      </c>
      <c r="H313">
        <f>装備閲覧!M313</f>
        <v>1</v>
      </c>
      <c r="I313">
        <f>装備閲覧!N313</f>
        <v>0</v>
      </c>
      <c r="J313">
        <f>装備閲覧!O313</f>
        <v>1</v>
      </c>
      <c r="K313">
        <f>装備閲覧!P313</f>
        <v>0</v>
      </c>
      <c r="L313">
        <f>装備閲覧!R313</f>
        <v>0</v>
      </c>
      <c r="M313">
        <f>装備閲覧!S313</f>
        <v>0</v>
      </c>
      <c r="N313" t="str">
        <f>装備閲覧!T313</f>
        <v>短</v>
      </c>
      <c r="O313">
        <f>装備閲覧!AA313</f>
        <v>0</v>
      </c>
      <c r="P313" s="1" t="str">
        <f>IFERROR(IFERROR(VLOOKUP(C313,改修!A:B,2,0),_xlfn.NUMBERVALUE(VLOOKUP(C313,特殊改修値!C:D,2,0))),"×")</f>
        <v>〇</v>
      </c>
      <c r="Q313" t="str">
        <f>IFERROR(VLOOKUP(C313,装備ボーナス!B:C,2,0),"×")</f>
        <v>〇</v>
      </c>
      <c r="R313" t="str">
        <f>VLOOKUP(A313,wikiName!A:B,2,0)</f>
        <v>533mm五連装魚雷(初期型)</v>
      </c>
    </row>
    <row r="314" spans="1:18" x14ac:dyDescent="0.4">
      <c r="A314">
        <f>装備閲覧!B314</f>
        <v>315</v>
      </c>
      <c r="B314" t="str">
        <f>装備閲覧!C314</f>
        <v>小型電探</v>
      </c>
      <c r="C314" t="str">
        <f>装備閲覧!D314</f>
        <v>SG レーダー(初期型)</v>
      </c>
      <c r="D314">
        <f>装備閲覧!H314</f>
        <v>11</v>
      </c>
      <c r="E314">
        <f>装備閲覧!J314</f>
        <v>1</v>
      </c>
      <c r="F314">
        <f>装備閲覧!K314</f>
        <v>0</v>
      </c>
      <c r="G314">
        <f>装備閲覧!L314</f>
        <v>3</v>
      </c>
      <c r="H314">
        <f>装備閲覧!M314</f>
        <v>0</v>
      </c>
      <c r="I314">
        <f>装備閲覧!N314</f>
        <v>3</v>
      </c>
      <c r="J314">
        <f>装備閲覧!O314</f>
        <v>6</v>
      </c>
      <c r="K314">
        <f>装備閲覧!P314</f>
        <v>8</v>
      </c>
      <c r="L314">
        <f>装備閲覧!R314</f>
        <v>8</v>
      </c>
      <c r="M314">
        <f>装備閲覧!S314</f>
        <v>0</v>
      </c>
      <c r="N314" t="str">
        <f>装備閲覧!T314</f>
        <v>中</v>
      </c>
      <c r="O314">
        <f>装備閲覧!AA314</f>
        <v>0</v>
      </c>
      <c r="P314" s="1">
        <f>IFERROR(IFERROR(VLOOKUP(C314,改修!A:B,2,0),_xlfn.NUMBERVALUE(VLOOKUP(C314,特殊改修値!C:D,2,0))),"×")</f>
        <v>4</v>
      </c>
      <c r="Q314" t="str">
        <f>IFERROR(VLOOKUP(C314,装備ボーナス!B:C,2,0),"×")</f>
        <v>〇</v>
      </c>
      <c r="R314" t="str">
        <f>VLOOKUP(A314,wikiName!A:B,2,0)</f>
        <v>SG レーダー(初期型)</v>
      </c>
    </row>
    <row r="315" spans="1:18" x14ac:dyDescent="0.4">
      <c r="A315">
        <f>装備閲覧!B315</f>
        <v>316</v>
      </c>
      <c r="B315" t="str">
        <f>装備閲覧!C315</f>
        <v>艦上爆撃機</v>
      </c>
      <c r="C315" t="str">
        <f>装備閲覧!D315</f>
        <v>Re.2001 CB改</v>
      </c>
      <c r="D315">
        <f>装備閲覧!H315</f>
        <v>7</v>
      </c>
      <c r="E315">
        <f>装備閲覧!J315</f>
        <v>3</v>
      </c>
      <c r="F315">
        <f>装備閲覧!K315</f>
        <v>0</v>
      </c>
      <c r="G315">
        <f>装備閲覧!L315</f>
        <v>4</v>
      </c>
      <c r="H315">
        <f>装備閲覧!M315</f>
        <v>0</v>
      </c>
      <c r="I315">
        <f>装備閲覧!N315</f>
        <v>3</v>
      </c>
      <c r="J315">
        <f>装備閲覧!O315</f>
        <v>2</v>
      </c>
      <c r="K315">
        <f>装備閲覧!P315</f>
        <v>0</v>
      </c>
      <c r="L315">
        <f>装備閲覧!R315</f>
        <v>1</v>
      </c>
      <c r="M315">
        <f>装備閲覧!S315</f>
        <v>6</v>
      </c>
      <c r="N315" t="str">
        <f>装備閲覧!T315</f>
        <v>無</v>
      </c>
      <c r="O315">
        <f>装備閲覧!AA315</f>
        <v>3</v>
      </c>
      <c r="P315" s="1" t="str">
        <f>IFERROR(IFERROR(VLOOKUP(C315,改修!A:B,2,0),_xlfn.NUMBERVALUE(VLOOKUP(C315,特殊改修値!C:D,2,0))),"×")</f>
        <v>×</v>
      </c>
      <c r="Q315" t="str">
        <f>IFERROR(VLOOKUP(C315,装備ボーナス!B:C,2,0),"×")</f>
        <v>〇</v>
      </c>
      <c r="R315" t="str">
        <f>VLOOKUP(A315,wikiName!A:B,2,0)</f>
        <v>Re.2001 CB改</v>
      </c>
    </row>
    <row r="316" spans="1:18" x14ac:dyDescent="0.4">
      <c r="A316">
        <f>装備閲覧!B316</f>
        <v>317</v>
      </c>
      <c r="B316" t="str">
        <f>装備閲覧!C316</f>
        <v>対空強化弾</v>
      </c>
      <c r="C316" t="str">
        <f>装備閲覧!D316</f>
        <v>三式弾改</v>
      </c>
      <c r="D316">
        <f>装備閲覧!H316</f>
        <v>12</v>
      </c>
      <c r="E316">
        <f>装備閲覧!J316</f>
        <v>3</v>
      </c>
      <c r="F316">
        <f>装備閲覧!K316</f>
        <v>0</v>
      </c>
      <c r="G316">
        <f>装備閲覧!L316</f>
        <v>6</v>
      </c>
      <c r="H316">
        <f>装備閲覧!M316</f>
        <v>0</v>
      </c>
      <c r="I316">
        <f>装備閲覧!N316</f>
        <v>0</v>
      </c>
      <c r="J316">
        <f>装備閲覧!O316</f>
        <v>0</v>
      </c>
      <c r="K316">
        <f>装備閲覧!P316</f>
        <v>0</v>
      </c>
      <c r="L316">
        <f>装備閲覧!R316</f>
        <v>1</v>
      </c>
      <c r="M316">
        <f>装備閲覧!S316</f>
        <v>0</v>
      </c>
      <c r="N316" t="str">
        <f>装備閲覧!T316</f>
        <v>無</v>
      </c>
      <c r="O316">
        <f>装備閲覧!AA316</f>
        <v>0</v>
      </c>
      <c r="P316" s="1" t="str">
        <f>IFERROR(IFERROR(VLOOKUP(C316,改修!A:B,2,0),_xlfn.NUMBERVALUE(VLOOKUP(C316,特殊改修値!C:D,2,0))),"×")</f>
        <v>〇</v>
      </c>
      <c r="Q316" t="str">
        <f>IFERROR(VLOOKUP(C316,装備ボーナス!B:C,2,0),"×")</f>
        <v>〇</v>
      </c>
      <c r="R316" t="str">
        <f>VLOOKUP(A316,wikiName!A:B,2,0)</f>
        <v>三式弾改</v>
      </c>
    </row>
    <row r="317" spans="1:18" x14ac:dyDescent="0.4">
      <c r="A317">
        <f>装備閲覧!B317</f>
        <v>318</v>
      </c>
      <c r="B317" t="str">
        <f>装備閲覧!C317</f>
        <v>大口径主砲</v>
      </c>
      <c r="C317" t="str">
        <f>装備閲覧!D317</f>
        <v>41cm連装砲改二</v>
      </c>
      <c r="D317">
        <f>装備閲覧!H317</f>
        <v>3</v>
      </c>
      <c r="E317">
        <f>装備閲覧!J317</f>
        <v>21</v>
      </c>
      <c r="F317">
        <f>装備閲覧!K317</f>
        <v>0</v>
      </c>
      <c r="G317">
        <f>装備閲覧!L317</f>
        <v>5</v>
      </c>
      <c r="H317">
        <f>装備閲覧!M317</f>
        <v>2</v>
      </c>
      <c r="I317">
        <f>装備閲覧!N317</f>
        <v>0</v>
      </c>
      <c r="J317">
        <f>装備閲覧!O317</f>
        <v>1</v>
      </c>
      <c r="K317">
        <f>装備閲覧!P317</f>
        <v>0</v>
      </c>
      <c r="L317">
        <f>装備閲覧!R317</f>
        <v>5</v>
      </c>
      <c r="M317">
        <f>装備閲覧!S317</f>
        <v>0</v>
      </c>
      <c r="N317" t="str">
        <f>装備閲覧!T317</f>
        <v>長</v>
      </c>
      <c r="O317">
        <f>装備閲覧!AA317</f>
        <v>0</v>
      </c>
      <c r="P317" s="1" t="str">
        <f>IFERROR(IFERROR(VLOOKUP(C317,改修!A:B,2,0),_xlfn.NUMBERVALUE(VLOOKUP(C317,特殊改修値!C:D,2,0))),"×")</f>
        <v>〇</v>
      </c>
      <c r="Q317" t="str">
        <f>IFERROR(VLOOKUP(C317,装備ボーナス!B:C,2,0),"×")</f>
        <v>〇</v>
      </c>
      <c r="R317" t="str">
        <f>VLOOKUP(A317,wikiName!A:B,2,0)</f>
        <v>41cm連装砲改二</v>
      </c>
    </row>
    <row r="318" spans="1:18" x14ac:dyDescent="0.4">
      <c r="A318">
        <f>装備閲覧!B318</f>
        <v>319</v>
      </c>
      <c r="B318" t="str">
        <f>装備閲覧!C318</f>
        <v>艦上爆撃機</v>
      </c>
      <c r="C318" t="str">
        <f>装備閲覧!D318</f>
        <v>彗星一二型(六三四空/三号爆弾搭載機)</v>
      </c>
      <c r="D318">
        <f>装備閲覧!H318</f>
        <v>7</v>
      </c>
      <c r="E318">
        <f>装備閲覧!J318</f>
        <v>0</v>
      </c>
      <c r="F318">
        <f>装備閲覧!K318</f>
        <v>0</v>
      </c>
      <c r="G318">
        <f>装備閲覧!L318</f>
        <v>3</v>
      </c>
      <c r="H318">
        <f>装備閲覧!M318</f>
        <v>0</v>
      </c>
      <c r="I318">
        <f>装備閲覧!N318</f>
        <v>2</v>
      </c>
      <c r="J318">
        <f>装備閲覧!O318</f>
        <v>1</v>
      </c>
      <c r="K318">
        <f>装備閲覧!P318</f>
        <v>0</v>
      </c>
      <c r="L318">
        <f>装備閲覧!R318</f>
        <v>1</v>
      </c>
      <c r="M318">
        <f>装備閲覧!S318</f>
        <v>12</v>
      </c>
      <c r="N318" t="str">
        <f>装備閲覧!T318</f>
        <v>無</v>
      </c>
      <c r="O318">
        <f>装備閲覧!AA318</f>
        <v>5</v>
      </c>
      <c r="P318" s="1" t="str">
        <f>IFERROR(IFERROR(VLOOKUP(C318,改修!A:B,2,0),_xlfn.NUMBERVALUE(VLOOKUP(C318,特殊改修値!C:D,2,0))),"×")</f>
        <v>×</v>
      </c>
      <c r="Q318" t="str">
        <f>IFERROR(VLOOKUP(C318,装備ボーナス!B:C,2,0),"×")</f>
        <v>〇</v>
      </c>
      <c r="R318" t="str">
        <f>VLOOKUP(A318,wikiName!A:B,2,0)</f>
        <v>彗星一二型(六三四空／三号爆弾搭載機)</v>
      </c>
    </row>
    <row r="319" spans="1:18" x14ac:dyDescent="0.4">
      <c r="A319">
        <f>装備閲覧!B319</f>
        <v>320</v>
      </c>
      <c r="B319" t="str">
        <f>装備閲覧!C319</f>
        <v>艦上爆撃機</v>
      </c>
      <c r="C319" t="str">
        <f>装備閲覧!D319</f>
        <v>彗星一二型(三一号光電管爆弾搭載機)</v>
      </c>
      <c r="D319">
        <f>装備閲覧!H319</f>
        <v>7</v>
      </c>
      <c r="E319">
        <f>装備閲覧!J319</f>
        <v>0</v>
      </c>
      <c r="F319">
        <f>装備閲覧!K319</f>
        <v>0</v>
      </c>
      <c r="G319">
        <f>装備閲覧!L319</f>
        <v>0</v>
      </c>
      <c r="H319">
        <f>装備閲覧!M319</f>
        <v>0</v>
      </c>
      <c r="I319">
        <f>装備閲覧!N319</f>
        <v>0</v>
      </c>
      <c r="J319">
        <f>装備閲覧!O319</f>
        <v>0</v>
      </c>
      <c r="K319">
        <f>装備閲覧!P319</f>
        <v>0</v>
      </c>
      <c r="L319">
        <f>装備閲覧!R319</f>
        <v>5</v>
      </c>
      <c r="M319">
        <f>装備閲覧!S319</f>
        <v>11</v>
      </c>
      <c r="N319" t="str">
        <f>装備閲覧!T319</f>
        <v>無</v>
      </c>
      <c r="O319">
        <f>装備閲覧!AA319</f>
        <v>5</v>
      </c>
      <c r="P319" s="1">
        <f>IFERROR(IFERROR(VLOOKUP(C319,改修!A:B,2,0),_xlfn.NUMBERVALUE(VLOOKUP(C319,特殊改修値!C:D,2,0))),"×")</f>
        <v>3</v>
      </c>
      <c r="Q319" t="str">
        <f>IFERROR(VLOOKUP(C319,装備ボーナス!B:C,2,0),"×")</f>
        <v>〇</v>
      </c>
      <c r="R319" t="str">
        <f>VLOOKUP(A319,wikiName!A:B,2,0)</f>
        <v>彗星一二型(三一号光電管爆弾搭載機)</v>
      </c>
    </row>
    <row r="320" spans="1:18" x14ac:dyDescent="0.4">
      <c r="A320">
        <f>装備閲覧!B320</f>
        <v>322</v>
      </c>
      <c r="B320" t="str">
        <f>装備閲覧!C320</f>
        <v>水上爆撃機</v>
      </c>
      <c r="C320" t="str">
        <f>装備閲覧!D320</f>
        <v>瑞雲改二(六三四空)</v>
      </c>
      <c r="D320">
        <f>装備閲覧!H320</f>
        <v>10</v>
      </c>
      <c r="E320">
        <f>装備閲覧!J320</f>
        <v>2</v>
      </c>
      <c r="F320">
        <f>装備閲覧!K320</f>
        <v>0</v>
      </c>
      <c r="G320">
        <f>装備閲覧!L320</f>
        <v>4</v>
      </c>
      <c r="H320">
        <f>装備閲覧!M320</f>
        <v>0</v>
      </c>
      <c r="I320">
        <f>装備閲覧!N320</f>
        <v>6</v>
      </c>
      <c r="J320">
        <f>装備閲覧!O320</f>
        <v>1</v>
      </c>
      <c r="K320">
        <f>装備閲覧!P320</f>
        <v>7</v>
      </c>
      <c r="L320">
        <f>装備閲覧!R320</f>
        <v>2</v>
      </c>
      <c r="M320">
        <f>装備閲覧!S320</f>
        <v>10</v>
      </c>
      <c r="N320" t="str">
        <f>装備閲覧!T320</f>
        <v>無</v>
      </c>
      <c r="O320">
        <f>装備閲覧!AA320</f>
        <v>5</v>
      </c>
      <c r="P320" s="1" t="str">
        <f>IFERROR(IFERROR(VLOOKUP(C320,改修!A:B,2,0),_xlfn.NUMBERVALUE(VLOOKUP(C320,特殊改修値!C:D,2,0))),"×")</f>
        <v>〇</v>
      </c>
      <c r="Q320" t="str">
        <f>IFERROR(VLOOKUP(C320,装備ボーナス!B:C,2,0),"×")</f>
        <v>〇</v>
      </c>
      <c r="R320" t="str">
        <f>VLOOKUP(A320,wikiName!A:B,2,0)</f>
        <v>瑞雲改二(六三四空)</v>
      </c>
    </row>
    <row r="321" spans="1:18" x14ac:dyDescent="0.4">
      <c r="A321">
        <f>装備閲覧!B321</f>
        <v>323</v>
      </c>
      <c r="B321" t="str">
        <f>装備閲覧!C321</f>
        <v>水上爆撃機</v>
      </c>
      <c r="C321" t="str">
        <f>装備閲覧!D321</f>
        <v>瑞雲改二(六三四空/熟練)</v>
      </c>
      <c r="D321">
        <f>装備閲覧!H321</f>
        <v>10</v>
      </c>
      <c r="E321">
        <f>装備閲覧!J321</f>
        <v>2</v>
      </c>
      <c r="F321">
        <f>装備閲覧!K321</f>
        <v>0</v>
      </c>
      <c r="G321">
        <f>装備閲覧!L321</f>
        <v>5</v>
      </c>
      <c r="H321">
        <f>装備閲覧!M321</f>
        <v>0</v>
      </c>
      <c r="I321">
        <f>装備閲覧!N321</f>
        <v>7</v>
      </c>
      <c r="J321">
        <f>装備閲覧!O321</f>
        <v>3</v>
      </c>
      <c r="K321">
        <f>装備閲覧!P321</f>
        <v>8</v>
      </c>
      <c r="L321">
        <f>装備閲覧!R321</f>
        <v>3</v>
      </c>
      <c r="M321">
        <f>装備閲覧!S321</f>
        <v>11</v>
      </c>
      <c r="N321" t="str">
        <f>装備閲覧!T321</f>
        <v>無</v>
      </c>
      <c r="O321">
        <f>装備閲覧!AA321</f>
        <v>5</v>
      </c>
      <c r="P321" s="1" t="str">
        <f>IFERROR(IFERROR(VLOOKUP(C321,改修!A:B,2,0),_xlfn.NUMBERVALUE(VLOOKUP(C321,特殊改修値!C:D,2,0))),"×")</f>
        <v>×</v>
      </c>
      <c r="Q321" t="str">
        <f>IFERROR(VLOOKUP(C321,装備ボーナス!B:C,2,0),"×")</f>
        <v>〇</v>
      </c>
      <c r="R321" t="str">
        <f>VLOOKUP(A321,wikiName!A:B,2,0)</f>
        <v>瑞雲改二(六三四空／熟練)</v>
      </c>
    </row>
    <row r="322" spans="1:18" x14ac:dyDescent="0.4">
      <c r="A322">
        <f>装備閲覧!B322</f>
        <v>324</v>
      </c>
      <c r="B322" t="str">
        <f>装備閲覧!C322</f>
        <v>オートジャイロ</v>
      </c>
      <c r="C322" t="str">
        <f>装備閲覧!D322</f>
        <v>オ号観測機改</v>
      </c>
      <c r="D322">
        <f>装備閲覧!H322</f>
        <v>21</v>
      </c>
      <c r="E322">
        <f>装備閲覧!J322</f>
        <v>1</v>
      </c>
      <c r="F322">
        <f>装備閲覧!K322</f>
        <v>0</v>
      </c>
      <c r="G322">
        <f>装備閲覧!L322</f>
        <v>0</v>
      </c>
      <c r="H322">
        <f>装備閲覧!M322</f>
        <v>0</v>
      </c>
      <c r="I322">
        <f>装備閲覧!N322</f>
        <v>10</v>
      </c>
      <c r="J322">
        <f>装備閲覧!O322</f>
        <v>0</v>
      </c>
      <c r="K322">
        <f>装備閲覧!P322</f>
        <v>0</v>
      </c>
      <c r="L322">
        <f>装備閲覧!R322</f>
        <v>1</v>
      </c>
      <c r="M322">
        <f>装備閲覧!S322</f>
        <v>0</v>
      </c>
      <c r="N322" t="str">
        <f>装備閲覧!T322</f>
        <v>無</v>
      </c>
      <c r="O322">
        <f>装備閲覧!AA322</f>
        <v>0</v>
      </c>
      <c r="P322" s="1" t="str">
        <f>IFERROR(IFERROR(VLOOKUP(C322,改修!A:B,2,0),_xlfn.NUMBERVALUE(VLOOKUP(C322,特殊改修値!C:D,2,0))),"×")</f>
        <v>〇</v>
      </c>
      <c r="Q322" t="str">
        <f>IFERROR(VLOOKUP(C322,装備ボーナス!B:C,2,0),"×")</f>
        <v>〇</v>
      </c>
      <c r="R322" t="str">
        <f>VLOOKUP(A322,wikiName!A:B,2,0)</f>
        <v>オ号観測機改</v>
      </c>
    </row>
    <row r="323" spans="1:18" x14ac:dyDescent="0.4">
      <c r="A323">
        <f>装備閲覧!B323</f>
        <v>325</v>
      </c>
      <c r="B323" t="str">
        <f>装備閲覧!C323</f>
        <v>オートジャイロ</v>
      </c>
      <c r="C323" t="str">
        <f>装備閲覧!D323</f>
        <v>オ号観測機改二</v>
      </c>
      <c r="D323">
        <f>装備閲覧!H323</f>
        <v>21</v>
      </c>
      <c r="E323">
        <f>装備閲覧!J323</f>
        <v>1</v>
      </c>
      <c r="F323">
        <f>装備閲覧!K323</f>
        <v>0</v>
      </c>
      <c r="G323">
        <f>装備閲覧!L323</f>
        <v>0</v>
      </c>
      <c r="H323">
        <f>装備閲覧!M323</f>
        <v>0</v>
      </c>
      <c r="I323">
        <f>装備閲覧!N323</f>
        <v>11</v>
      </c>
      <c r="J323">
        <f>装備閲覧!O323</f>
        <v>0</v>
      </c>
      <c r="K323">
        <f>装備閲覧!P323</f>
        <v>1</v>
      </c>
      <c r="L323">
        <f>装備閲覧!R323</f>
        <v>1</v>
      </c>
      <c r="M323">
        <f>装備閲覧!S323</f>
        <v>0</v>
      </c>
      <c r="N323" t="str">
        <f>装備閲覧!T323</f>
        <v>無</v>
      </c>
      <c r="O323">
        <f>装備閲覧!AA323</f>
        <v>0</v>
      </c>
      <c r="P323" s="1" t="str">
        <f>IFERROR(IFERROR(VLOOKUP(C323,改修!A:B,2,0),_xlfn.NUMBERVALUE(VLOOKUP(C323,特殊改修値!C:D,2,0))),"×")</f>
        <v>〇</v>
      </c>
      <c r="Q323" t="str">
        <f>IFERROR(VLOOKUP(C323,装備ボーナス!B:C,2,0),"×")</f>
        <v>〇</v>
      </c>
      <c r="R323" t="str">
        <f>VLOOKUP(A323,wikiName!A:B,2,0)</f>
        <v>オ号観測機改二</v>
      </c>
    </row>
    <row r="324" spans="1:18" x14ac:dyDescent="0.4">
      <c r="A324">
        <f>装備閲覧!B324</f>
        <v>326</v>
      </c>
      <c r="B324" t="str">
        <f>装備閲覧!C324</f>
        <v>オートジャイロ</v>
      </c>
      <c r="C324" t="str">
        <f>装備閲覧!D324</f>
        <v>S-51J</v>
      </c>
      <c r="D324">
        <f>装備閲覧!H324</f>
        <v>21</v>
      </c>
      <c r="E324">
        <f>装備閲覧!J324</f>
        <v>2</v>
      </c>
      <c r="F324">
        <f>装備閲覧!K324</f>
        <v>0</v>
      </c>
      <c r="G324">
        <f>装備閲覧!L324</f>
        <v>0</v>
      </c>
      <c r="H324">
        <f>装備閲覧!M324</f>
        <v>0</v>
      </c>
      <c r="I324">
        <f>装備閲覧!N324</f>
        <v>12</v>
      </c>
      <c r="J324">
        <f>装備閲覧!O324</f>
        <v>0</v>
      </c>
      <c r="K324">
        <f>装備閲覧!P324</f>
        <v>3</v>
      </c>
      <c r="L324">
        <f>装備閲覧!R324</f>
        <v>2</v>
      </c>
      <c r="M324">
        <f>装備閲覧!S324</f>
        <v>0</v>
      </c>
      <c r="N324" t="str">
        <f>装備閲覧!T324</f>
        <v>無</v>
      </c>
      <c r="O324">
        <f>装備閲覧!AA324</f>
        <v>0</v>
      </c>
      <c r="P324" s="1" t="str">
        <f>IFERROR(IFERROR(VLOOKUP(C324,改修!A:B,2,0),_xlfn.NUMBERVALUE(VLOOKUP(C324,特殊改修値!C:D,2,0))),"×")</f>
        <v>〇</v>
      </c>
      <c r="Q324" t="str">
        <f>IFERROR(VLOOKUP(C324,装備ボーナス!B:C,2,0),"×")</f>
        <v>〇</v>
      </c>
      <c r="R324" t="str">
        <f>VLOOKUP(A324,wikiName!A:B,2,0)</f>
        <v>S-51J</v>
      </c>
    </row>
    <row r="325" spans="1:18" x14ac:dyDescent="0.4">
      <c r="A325">
        <f>装備閲覧!B325</f>
        <v>327</v>
      </c>
      <c r="B325" t="str">
        <f>装備閲覧!C325</f>
        <v>オートジャイロ</v>
      </c>
      <c r="C325" t="str">
        <f>装備閲覧!D325</f>
        <v>S-51J改</v>
      </c>
      <c r="D325">
        <f>装備閲覧!H325</f>
        <v>21</v>
      </c>
      <c r="E325">
        <f>装備閲覧!J325</f>
        <v>2</v>
      </c>
      <c r="F325">
        <f>装備閲覧!K325</f>
        <v>0</v>
      </c>
      <c r="G325">
        <f>装備閲覧!L325</f>
        <v>0</v>
      </c>
      <c r="H325">
        <f>装備閲覧!M325</f>
        <v>0</v>
      </c>
      <c r="I325">
        <f>装備閲覧!N325</f>
        <v>13</v>
      </c>
      <c r="J325">
        <f>装備閲覧!O325</f>
        <v>0</v>
      </c>
      <c r="K325">
        <f>装備閲覧!P325</f>
        <v>4</v>
      </c>
      <c r="L325">
        <f>装備閲覧!R325</f>
        <v>3</v>
      </c>
      <c r="M325">
        <f>装備閲覧!S325</f>
        <v>0</v>
      </c>
      <c r="N325" t="str">
        <f>装備閲覧!T325</f>
        <v>無</v>
      </c>
      <c r="O325">
        <f>装備閲覧!AA325</f>
        <v>0</v>
      </c>
      <c r="P325" s="1" t="str">
        <f>IFERROR(IFERROR(VLOOKUP(C325,改修!A:B,2,0),_xlfn.NUMBERVALUE(VLOOKUP(C325,特殊改修値!C:D,2,0))),"×")</f>
        <v>〇</v>
      </c>
      <c r="Q325" t="str">
        <f>IFERROR(VLOOKUP(C325,装備ボーナス!B:C,2,0),"×")</f>
        <v>〇</v>
      </c>
      <c r="R325" t="str">
        <f>VLOOKUP(A325,wikiName!A:B,2,0)</f>
        <v>S-51J改</v>
      </c>
    </row>
    <row r="326" spans="1:18" x14ac:dyDescent="0.4">
      <c r="A326">
        <f>装備閲覧!B326</f>
        <v>328</v>
      </c>
      <c r="B326" t="str">
        <f>装備閲覧!C326</f>
        <v>大口径主砲</v>
      </c>
      <c r="C326" t="str">
        <f>装備閲覧!D326</f>
        <v>35.6cm連装砲改</v>
      </c>
      <c r="D326">
        <f>装備閲覧!H326</f>
        <v>3</v>
      </c>
      <c r="E326">
        <f>装備閲覧!J326</f>
        <v>16</v>
      </c>
      <c r="F326">
        <f>装備閲覧!K326</f>
        <v>0</v>
      </c>
      <c r="G326">
        <f>装備閲覧!L326</f>
        <v>4</v>
      </c>
      <c r="H326">
        <f>装備閲覧!M326</f>
        <v>2</v>
      </c>
      <c r="I326">
        <f>装備閲覧!N326</f>
        <v>0</v>
      </c>
      <c r="J326">
        <f>装備閲覧!O326</f>
        <v>2</v>
      </c>
      <c r="K326">
        <f>装備閲覧!P326</f>
        <v>0</v>
      </c>
      <c r="L326">
        <f>装備閲覧!R326</f>
        <v>3</v>
      </c>
      <c r="M326">
        <f>装備閲覧!S326</f>
        <v>0</v>
      </c>
      <c r="N326" t="str">
        <f>装備閲覧!T326</f>
        <v>長</v>
      </c>
      <c r="O326">
        <f>装備閲覧!AA326</f>
        <v>0</v>
      </c>
      <c r="P326" s="1" t="str">
        <f>IFERROR(IFERROR(VLOOKUP(C326,改修!A:B,2,0),_xlfn.NUMBERVALUE(VLOOKUP(C326,特殊改修値!C:D,2,0))),"×")</f>
        <v>〇</v>
      </c>
      <c r="Q326" t="str">
        <f>IFERROR(VLOOKUP(C326,装備ボーナス!B:C,2,0),"×")</f>
        <v>〇</v>
      </c>
      <c r="R326" t="str">
        <f>VLOOKUP(A326,wikiName!A:B,2,0)</f>
        <v>35.6cm連装砲改</v>
      </c>
    </row>
    <row r="327" spans="1:18" x14ac:dyDescent="0.4">
      <c r="A327">
        <f>装備閲覧!B327</f>
        <v>329</v>
      </c>
      <c r="B327" t="str">
        <f>装備閲覧!C327</f>
        <v>大口径主砲</v>
      </c>
      <c r="C327" t="str">
        <f>装備閲覧!D327</f>
        <v>35.6cm連装砲改二</v>
      </c>
      <c r="D327">
        <f>装備閲覧!H327</f>
        <v>3</v>
      </c>
      <c r="E327">
        <f>装備閲覧!J327</f>
        <v>17</v>
      </c>
      <c r="F327">
        <f>装備閲覧!K327</f>
        <v>0</v>
      </c>
      <c r="G327">
        <f>装備閲覧!L327</f>
        <v>5</v>
      </c>
      <c r="H327">
        <f>装備閲覧!M327</f>
        <v>2</v>
      </c>
      <c r="I327">
        <f>装備閲覧!N327</f>
        <v>0</v>
      </c>
      <c r="J327">
        <f>装備閲覧!O327</f>
        <v>2</v>
      </c>
      <c r="K327">
        <f>装備閲覧!P327</f>
        <v>0</v>
      </c>
      <c r="L327">
        <f>装備閲覧!R327</f>
        <v>5</v>
      </c>
      <c r="M327">
        <f>装備閲覧!S327</f>
        <v>0</v>
      </c>
      <c r="N327" t="str">
        <f>装備閲覧!T327</f>
        <v>長</v>
      </c>
      <c r="O327">
        <f>装備閲覧!AA327</f>
        <v>0</v>
      </c>
      <c r="P327" s="1" t="str">
        <f>IFERROR(IFERROR(VLOOKUP(C327,改修!A:B,2,0),_xlfn.NUMBERVALUE(VLOOKUP(C327,特殊改修値!C:D,2,0))),"×")</f>
        <v>×</v>
      </c>
      <c r="Q327" t="str">
        <f>IFERROR(VLOOKUP(C327,装備ボーナス!B:C,2,0),"×")</f>
        <v>〇</v>
      </c>
      <c r="R327" t="str">
        <f>VLOOKUP(A327,wikiName!A:B,2,0)</f>
        <v>35.6cm連装砲改二</v>
      </c>
    </row>
    <row r="328" spans="1:18" x14ac:dyDescent="0.4">
      <c r="A328">
        <f>装備閲覧!B328</f>
        <v>330</v>
      </c>
      <c r="B328" t="str">
        <f>装備閲覧!C328</f>
        <v>大口径主砲</v>
      </c>
      <c r="C328" t="str">
        <f>装備閲覧!D328</f>
        <v>16inch Mk.I連装砲</v>
      </c>
      <c r="D328">
        <f>装備閲覧!H328</f>
        <v>3</v>
      </c>
      <c r="E328">
        <f>装備閲覧!J328</f>
        <v>20</v>
      </c>
      <c r="F328">
        <f>装備閲覧!K328</f>
        <v>0</v>
      </c>
      <c r="G328">
        <f>装備閲覧!L328</f>
        <v>0</v>
      </c>
      <c r="H328">
        <f>装備閲覧!M328</f>
        <v>1</v>
      </c>
      <c r="I328">
        <f>装備閲覧!N328</f>
        <v>0</v>
      </c>
      <c r="J328">
        <f>装備閲覧!O328</f>
        <v>1</v>
      </c>
      <c r="K328">
        <f>装備閲覧!P328</f>
        <v>0</v>
      </c>
      <c r="L328">
        <f>装備閲覧!R328</f>
        <v>1</v>
      </c>
      <c r="M328">
        <f>装備閲覧!S328</f>
        <v>0</v>
      </c>
      <c r="N328" t="str">
        <f>装備閲覧!T328</f>
        <v>長</v>
      </c>
      <c r="O328">
        <f>装備閲覧!AA328</f>
        <v>0</v>
      </c>
      <c r="P328" s="1" t="str">
        <f>IFERROR(IFERROR(VLOOKUP(C328,改修!A:B,2,0),_xlfn.NUMBERVALUE(VLOOKUP(C328,特殊改修値!C:D,2,0))),"×")</f>
        <v>〇</v>
      </c>
      <c r="Q328" t="str">
        <f>IFERROR(VLOOKUP(C328,装備ボーナス!B:C,2,0),"×")</f>
        <v>〇</v>
      </c>
      <c r="R328" t="str">
        <f>VLOOKUP(A328,wikiName!A:B,2,0)</f>
        <v>16inch Mk.I連装砲</v>
      </c>
    </row>
    <row r="329" spans="1:18" x14ac:dyDescent="0.4">
      <c r="A329">
        <f>装備閲覧!B329</f>
        <v>331</v>
      </c>
      <c r="B329" t="str">
        <f>装備閲覧!C329</f>
        <v>大口径主砲</v>
      </c>
      <c r="C329" t="str">
        <f>装備閲覧!D329</f>
        <v>16inch Mk.V連装砲</v>
      </c>
      <c r="D329">
        <f>装備閲覧!H329</f>
        <v>3</v>
      </c>
      <c r="E329">
        <f>装備閲覧!J329</f>
        <v>21</v>
      </c>
      <c r="F329">
        <f>装備閲覧!K329</f>
        <v>0</v>
      </c>
      <c r="G329">
        <f>装備閲覧!L329</f>
        <v>2</v>
      </c>
      <c r="H329">
        <f>装備閲覧!M329</f>
        <v>2</v>
      </c>
      <c r="I329">
        <f>装備閲覧!N329</f>
        <v>0</v>
      </c>
      <c r="J329">
        <f>装備閲覧!O329</f>
        <v>1</v>
      </c>
      <c r="K329">
        <f>装備閲覧!P329</f>
        <v>0</v>
      </c>
      <c r="L329">
        <f>装備閲覧!R329</f>
        <v>2</v>
      </c>
      <c r="M329">
        <f>装備閲覧!S329</f>
        <v>0</v>
      </c>
      <c r="N329" t="str">
        <f>装備閲覧!T329</f>
        <v>長</v>
      </c>
      <c r="O329">
        <f>装備閲覧!AA329</f>
        <v>0</v>
      </c>
      <c r="P329" s="1" t="str">
        <f>IFERROR(IFERROR(VLOOKUP(C329,改修!A:B,2,0),_xlfn.NUMBERVALUE(VLOOKUP(C329,特殊改修値!C:D,2,0))),"×")</f>
        <v>〇</v>
      </c>
      <c r="Q329" t="str">
        <f>IFERROR(VLOOKUP(C329,装備ボーナス!B:C,2,0),"×")</f>
        <v>〇</v>
      </c>
      <c r="R329" t="str">
        <f>VLOOKUP(A329,wikiName!A:B,2,0)</f>
        <v>16inch Mk.V連装砲</v>
      </c>
    </row>
    <row r="330" spans="1:18" x14ac:dyDescent="0.4">
      <c r="A330">
        <f>装備閲覧!B330</f>
        <v>332</v>
      </c>
      <c r="B330" t="str">
        <f>装備閲覧!C330</f>
        <v>大口径主砲</v>
      </c>
      <c r="C330" t="str">
        <f>装備閲覧!D330</f>
        <v>16inch Mk.VIII連装砲改</v>
      </c>
      <c r="D330">
        <f>装備閲覧!H330</f>
        <v>3</v>
      </c>
      <c r="E330">
        <f>装備閲覧!J330</f>
        <v>21</v>
      </c>
      <c r="F330">
        <f>装備閲覧!K330</f>
        <v>0</v>
      </c>
      <c r="G330">
        <f>装備閲覧!L330</f>
        <v>6</v>
      </c>
      <c r="H330">
        <f>装備閲覧!M330</f>
        <v>2</v>
      </c>
      <c r="I330">
        <f>装備閲覧!N330</f>
        <v>0</v>
      </c>
      <c r="J330">
        <f>装備閲覧!O330</f>
        <v>2</v>
      </c>
      <c r="K330">
        <f>装備閲覧!P330</f>
        <v>0</v>
      </c>
      <c r="L330">
        <f>装備閲覧!R330</f>
        <v>4</v>
      </c>
      <c r="M330">
        <f>装備閲覧!S330</f>
        <v>0</v>
      </c>
      <c r="N330" t="str">
        <f>装備閲覧!T330</f>
        <v>長</v>
      </c>
      <c r="O330">
        <f>装備閲覧!AA330</f>
        <v>0</v>
      </c>
      <c r="P330" s="1" t="str">
        <f>IFERROR(IFERROR(VLOOKUP(C330,改修!A:B,2,0),_xlfn.NUMBERVALUE(VLOOKUP(C330,特殊改修値!C:D,2,0))),"×")</f>
        <v>×</v>
      </c>
      <c r="Q330" t="str">
        <f>IFERROR(VLOOKUP(C330,装備ボーナス!B:C,2,0),"×")</f>
        <v>〇</v>
      </c>
      <c r="R330" t="str">
        <f>VLOOKUP(A330,wikiName!A:B,2,0)</f>
        <v>16inch Mk.VIII連装砲改</v>
      </c>
    </row>
    <row r="331" spans="1:18" x14ac:dyDescent="0.4">
      <c r="A331">
        <f>装備閲覧!B331</f>
        <v>333</v>
      </c>
      <c r="B331" t="str">
        <f>装備閲覧!C331</f>
        <v>局地戦闘機</v>
      </c>
      <c r="C331" t="str">
        <f>装備閲覧!D331</f>
        <v>烈風改</v>
      </c>
      <c r="D331">
        <f>装備閲覧!H331</f>
        <v>38</v>
      </c>
      <c r="E331">
        <f>装備閲覧!J331</f>
        <v>0</v>
      </c>
      <c r="F331">
        <f>装備閲覧!K331</f>
        <v>0</v>
      </c>
      <c r="G331">
        <f>装備閲覧!L331</f>
        <v>10</v>
      </c>
      <c r="H331">
        <f>装備閲覧!M331</f>
        <v>1</v>
      </c>
      <c r="I331">
        <f>装備閲覧!N331</f>
        <v>0</v>
      </c>
      <c r="J331">
        <f>装備閲覧!O331</f>
        <v>2</v>
      </c>
      <c r="K331">
        <f>装備閲覧!P331</f>
        <v>0</v>
      </c>
      <c r="L331">
        <f>装備閲覧!R331</f>
        <v>6</v>
      </c>
      <c r="M331">
        <f>装備閲覧!S331</f>
        <v>0</v>
      </c>
      <c r="N331" t="str">
        <f>装備閲覧!T331</f>
        <v>無</v>
      </c>
      <c r="O331">
        <f>装備閲覧!AA331</f>
        <v>4</v>
      </c>
      <c r="P331" s="1" t="str">
        <f>IFERROR(IFERROR(VLOOKUP(C331,改修!A:B,2,0),_xlfn.NUMBERVALUE(VLOOKUP(C331,特殊改修値!C:D,2,0))),"×")</f>
        <v>×</v>
      </c>
      <c r="Q331" t="str">
        <f>IFERROR(VLOOKUP(C331,装備ボーナス!B:C,2,0),"×")</f>
        <v>×</v>
      </c>
      <c r="R331" t="str">
        <f>VLOOKUP(A331,wikiName!A:B,2,0)</f>
        <v>烈風改</v>
      </c>
    </row>
    <row r="332" spans="1:18" x14ac:dyDescent="0.4">
      <c r="A332">
        <f>装備閲覧!B332</f>
        <v>334</v>
      </c>
      <c r="B332" t="str">
        <f>装備閲覧!C332</f>
        <v>局地戦闘機</v>
      </c>
      <c r="C332" t="str">
        <f>装備閲覧!D332</f>
        <v>烈風改(三五二空/熟練)</v>
      </c>
      <c r="D332">
        <f>装備閲覧!H332</f>
        <v>38</v>
      </c>
      <c r="E332">
        <f>装備閲覧!J332</f>
        <v>0</v>
      </c>
      <c r="F332">
        <f>装備閲覧!K332</f>
        <v>0</v>
      </c>
      <c r="G332">
        <f>装備閲覧!L332</f>
        <v>11</v>
      </c>
      <c r="H332">
        <f>装備閲覧!M332</f>
        <v>1</v>
      </c>
      <c r="I332">
        <f>装備閲覧!N332</f>
        <v>0</v>
      </c>
      <c r="J332">
        <f>装備閲覧!O332</f>
        <v>3</v>
      </c>
      <c r="K332">
        <f>装備閲覧!P332</f>
        <v>0</v>
      </c>
      <c r="L332">
        <f>装備閲覧!R332</f>
        <v>7</v>
      </c>
      <c r="M332">
        <f>装備閲覧!S332</f>
        <v>0</v>
      </c>
      <c r="N332" t="str">
        <f>装備閲覧!T332</f>
        <v>無</v>
      </c>
      <c r="O332">
        <f>装備閲覧!AA332</f>
        <v>4</v>
      </c>
      <c r="P332" s="1" t="str">
        <f>IFERROR(IFERROR(VLOOKUP(C332,改修!A:B,2,0),_xlfn.NUMBERVALUE(VLOOKUP(C332,特殊改修値!C:D,2,0))),"×")</f>
        <v>×</v>
      </c>
      <c r="Q332" t="str">
        <f>IFERROR(VLOOKUP(C332,装備ボーナス!B:C,2,0),"×")</f>
        <v>×</v>
      </c>
      <c r="R332" t="str">
        <f>VLOOKUP(A332,wikiName!A:B,2,0)</f>
        <v>烈風改(三五二空／熟練)</v>
      </c>
    </row>
    <row r="333" spans="1:18" x14ac:dyDescent="0.4">
      <c r="A333">
        <f>装備閲覧!B333</f>
        <v>335</v>
      </c>
      <c r="B333" t="str">
        <f>装備閲覧!C333</f>
        <v>艦上戦闘機</v>
      </c>
      <c r="C333" t="str">
        <f>装備閲覧!D333</f>
        <v>烈風改(試製艦載型)</v>
      </c>
      <c r="D333">
        <f>装備閲覧!H333</f>
        <v>6</v>
      </c>
      <c r="E333">
        <f>装備閲覧!J333</f>
        <v>1</v>
      </c>
      <c r="F333">
        <f>装備閲覧!K333</f>
        <v>0</v>
      </c>
      <c r="G333">
        <f>装備閲覧!L333</f>
        <v>10</v>
      </c>
      <c r="H333">
        <f>装備閲覧!M333</f>
        <v>1</v>
      </c>
      <c r="I333">
        <f>装備閲覧!N333</f>
        <v>0</v>
      </c>
      <c r="J333">
        <f>装備閲覧!O333</f>
        <v>3</v>
      </c>
      <c r="K333">
        <f>装備閲覧!P333</f>
        <v>0</v>
      </c>
      <c r="L333">
        <f>装備閲覧!R333</f>
        <v>2</v>
      </c>
      <c r="M333">
        <f>装備閲覧!S333</f>
        <v>0</v>
      </c>
      <c r="N333" t="str">
        <f>装備閲覧!T333</f>
        <v>無</v>
      </c>
      <c r="O333">
        <f>装備閲覧!AA333</f>
        <v>4</v>
      </c>
      <c r="P333" s="1" t="str">
        <f>IFERROR(IFERROR(VLOOKUP(C333,改修!A:B,2,0),_xlfn.NUMBERVALUE(VLOOKUP(C333,特殊改修値!C:D,2,0))),"×")</f>
        <v>×</v>
      </c>
      <c r="Q333" t="str">
        <f>IFERROR(VLOOKUP(C333,装備ボーナス!B:C,2,0),"×")</f>
        <v>〇</v>
      </c>
      <c r="R333" t="str">
        <f>VLOOKUP(A333,wikiName!A:B,2,0)</f>
        <v>烈風改(試製艦載型)</v>
      </c>
    </row>
    <row r="334" spans="1:18" x14ac:dyDescent="0.4">
      <c r="A334">
        <f>装備閲覧!B334</f>
        <v>336</v>
      </c>
      <c r="B334" t="str">
        <f>装備閲覧!C334</f>
        <v>艦上戦闘機</v>
      </c>
      <c r="C334" t="str">
        <f>装備閲覧!D334</f>
        <v>烈風改二</v>
      </c>
      <c r="D334">
        <f>装備閲覧!H334</f>
        <v>6</v>
      </c>
      <c r="E334">
        <f>装備閲覧!J334</f>
        <v>1</v>
      </c>
      <c r="F334">
        <f>装備閲覧!K334</f>
        <v>0</v>
      </c>
      <c r="G334">
        <f>装備閲覧!L334</f>
        <v>13</v>
      </c>
      <c r="H334">
        <f>装備閲覧!M334</f>
        <v>0</v>
      </c>
      <c r="I334">
        <f>装備閲覧!N334</f>
        <v>0</v>
      </c>
      <c r="J334">
        <f>装備閲覧!O334</f>
        <v>1</v>
      </c>
      <c r="K334">
        <f>装備閲覧!P334</f>
        <v>0</v>
      </c>
      <c r="L334">
        <f>装備閲覧!R334</f>
        <v>2</v>
      </c>
      <c r="M334">
        <f>装備閲覧!S334</f>
        <v>0</v>
      </c>
      <c r="N334" t="str">
        <f>装備閲覧!T334</f>
        <v>無</v>
      </c>
      <c r="O334">
        <f>装備閲覧!AA334</f>
        <v>5</v>
      </c>
      <c r="P334" s="1" t="str">
        <f>IFERROR(IFERROR(VLOOKUP(C334,改修!A:B,2,0),_xlfn.NUMBERVALUE(VLOOKUP(C334,特殊改修値!C:D,2,0))),"×")</f>
        <v>×</v>
      </c>
      <c r="Q334" t="str">
        <f>IFERROR(VLOOKUP(C334,装備ボーナス!B:C,2,0),"×")</f>
        <v>〇</v>
      </c>
      <c r="R334" t="str">
        <f>VLOOKUP(A334,wikiName!A:B,2,0)</f>
        <v>烈風改二</v>
      </c>
    </row>
    <row r="335" spans="1:18" x14ac:dyDescent="0.4">
      <c r="A335">
        <f>装備閲覧!B336</f>
        <v>338</v>
      </c>
      <c r="B335" t="str">
        <f>装備閲覧!C336</f>
        <v>艦上戦闘機</v>
      </c>
      <c r="C335" t="str">
        <f>装備閲覧!D336</f>
        <v>烈風改二戊型</v>
      </c>
      <c r="D335">
        <f>装備閲覧!H336</f>
        <v>45</v>
      </c>
      <c r="E335">
        <f>装備閲覧!J336</f>
        <v>2</v>
      </c>
      <c r="F335">
        <f>装備閲覧!K336</f>
        <v>0</v>
      </c>
      <c r="G335">
        <f>装備閲覧!L336</f>
        <v>11</v>
      </c>
      <c r="H335">
        <f>装備閲覧!M336</f>
        <v>0</v>
      </c>
      <c r="I335">
        <f>装備閲覧!N336</f>
        <v>0</v>
      </c>
      <c r="J335">
        <f>装備閲覧!O336</f>
        <v>2</v>
      </c>
      <c r="K335">
        <f>装備閲覧!P336</f>
        <v>1</v>
      </c>
      <c r="L335">
        <f>装備閲覧!R336</f>
        <v>0</v>
      </c>
      <c r="M335">
        <f>装備閲覧!S336</f>
        <v>0</v>
      </c>
      <c r="N335" t="str">
        <f>装備閲覧!T336</f>
        <v>無</v>
      </c>
      <c r="O335">
        <f>装備閲覧!AA336</f>
        <v>5</v>
      </c>
      <c r="P335" s="1" t="str">
        <f>IFERROR(IFERROR(VLOOKUP(C335,改修!A:B,2,0),_xlfn.NUMBERVALUE(VLOOKUP(C335,特殊改修値!C:D,2,0))),"×")</f>
        <v>×</v>
      </c>
      <c r="Q335" t="str">
        <f>IFERROR(VLOOKUP(C335,装備ボーナス!B:C,2,0),"×")</f>
        <v>〇</v>
      </c>
      <c r="R335" t="str">
        <f>VLOOKUP(A335,wikiName!A:B,2,0)</f>
        <v>烈風改二戊型</v>
      </c>
    </row>
    <row r="336" spans="1:18" x14ac:dyDescent="0.4">
      <c r="A336">
        <f>装備閲覧!B337</f>
        <v>339</v>
      </c>
      <c r="B336" t="str">
        <f>装備閲覧!C337</f>
        <v>艦上戦闘機</v>
      </c>
      <c r="C336" t="str">
        <f>装備閲覧!D337</f>
        <v>烈風改二戊型(一航戦/熟練)</v>
      </c>
      <c r="D336">
        <f>装備閲覧!H337</f>
        <v>45</v>
      </c>
      <c r="E336">
        <f>装備閲覧!J337</f>
        <v>2</v>
      </c>
      <c r="F336">
        <f>装備閲覧!K337</f>
        <v>0</v>
      </c>
      <c r="G336">
        <f>装備閲覧!L337</f>
        <v>12</v>
      </c>
      <c r="H336">
        <f>装備閲覧!M337</f>
        <v>0</v>
      </c>
      <c r="I336">
        <f>装備閲覧!N337</f>
        <v>0</v>
      </c>
      <c r="J336">
        <f>装備閲覧!O337</f>
        <v>3</v>
      </c>
      <c r="K336">
        <f>装備閲覧!P337</f>
        <v>1</v>
      </c>
      <c r="L336">
        <f>装備閲覧!R337</f>
        <v>0</v>
      </c>
      <c r="M336">
        <f>装備閲覧!S337</f>
        <v>0</v>
      </c>
      <c r="N336" t="str">
        <f>装備閲覧!T337</f>
        <v>無</v>
      </c>
      <c r="O336">
        <f>装備閲覧!AA337</f>
        <v>6</v>
      </c>
      <c r="P336" s="1" t="str">
        <f>IFERROR(IFERROR(VLOOKUP(C336,改修!A:B,2,0),_xlfn.NUMBERVALUE(VLOOKUP(C336,特殊改修値!C:D,2,0))),"×")</f>
        <v>×</v>
      </c>
      <c r="Q336" t="str">
        <f>IFERROR(VLOOKUP(C336,装備ボーナス!B:C,2,0),"×")</f>
        <v>〇</v>
      </c>
      <c r="R336" t="str">
        <f>VLOOKUP(A336,wikiName!A:B,2,0)</f>
        <v>烈風改二戊型(一航戦／熟練)</v>
      </c>
    </row>
    <row r="337" spans="1:18" x14ac:dyDescent="0.4">
      <c r="A337">
        <f>装備閲覧!B338</f>
        <v>340</v>
      </c>
      <c r="B337" t="str">
        <f>装備閲覧!C338</f>
        <v>中口径主砲</v>
      </c>
      <c r="C337" t="str">
        <f>装備閲覧!D338</f>
        <v>152mm/55 三連装速射砲</v>
      </c>
      <c r="D337">
        <f>装備閲覧!H338</f>
        <v>2</v>
      </c>
      <c r="E337">
        <f>装備閲覧!J338</f>
        <v>8</v>
      </c>
      <c r="F337">
        <f>装備閲覧!K338</f>
        <v>0</v>
      </c>
      <c r="G337">
        <f>装備閲覧!L338</f>
        <v>2</v>
      </c>
      <c r="H337">
        <f>装備閲覧!M338</f>
        <v>1</v>
      </c>
      <c r="I337">
        <f>装備閲覧!N338</f>
        <v>0</v>
      </c>
      <c r="J337">
        <f>装備閲覧!O338</f>
        <v>0</v>
      </c>
      <c r="K337">
        <f>装備閲覧!P338</f>
        <v>0</v>
      </c>
      <c r="L337">
        <f>装備閲覧!R338</f>
        <v>1</v>
      </c>
      <c r="M337">
        <f>装備閲覧!S338</f>
        <v>0</v>
      </c>
      <c r="N337" t="str">
        <f>装備閲覧!T338</f>
        <v>中</v>
      </c>
      <c r="O337">
        <f>装備閲覧!AA338</f>
        <v>0</v>
      </c>
      <c r="P337" s="1" t="str">
        <f>IFERROR(IFERROR(VLOOKUP(C337,改修!A:B,2,0),_xlfn.NUMBERVALUE(VLOOKUP(C337,特殊改修値!C:D,2,0))),"×")</f>
        <v>×</v>
      </c>
      <c r="Q337" t="str">
        <f>IFERROR(VLOOKUP(C337,装備ボーナス!B:C,2,0),"×")</f>
        <v>〇</v>
      </c>
      <c r="R337" t="str">
        <f>VLOOKUP(A337,wikiName!A:B,2,0)</f>
        <v>152mm／55 三連装速射砲</v>
      </c>
    </row>
    <row r="338" spans="1:18" x14ac:dyDescent="0.4">
      <c r="A338">
        <f>装備閲覧!B339</f>
        <v>341</v>
      </c>
      <c r="B338" t="str">
        <f>装備閲覧!C339</f>
        <v>中口径主砲</v>
      </c>
      <c r="C338" t="str">
        <f>装備閲覧!D339</f>
        <v>152mm/55 三連装速射砲改</v>
      </c>
      <c r="D338">
        <f>装備閲覧!H339</f>
        <v>2</v>
      </c>
      <c r="E338">
        <f>装備閲覧!J339</f>
        <v>9</v>
      </c>
      <c r="F338">
        <f>装備閲覧!K339</f>
        <v>0</v>
      </c>
      <c r="G338">
        <f>装備閲覧!L339</f>
        <v>3</v>
      </c>
      <c r="H338">
        <f>装備閲覧!M339</f>
        <v>1</v>
      </c>
      <c r="I338">
        <f>装備閲覧!N339</f>
        <v>0</v>
      </c>
      <c r="J338">
        <f>装備閲覧!O339</f>
        <v>1</v>
      </c>
      <c r="K338">
        <f>装備閲覧!P339</f>
        <v>0</v>
      </c>
      <c r="L338">
        <f>装備閲覧!R339</f>
        <v>2</v>
      </c>
      <c r="M338">
        <f>装備閲覧!S339</f>
        <v>0</v>
      </c>
      <c r="N338" t="str">
        <f>装備閲覧!T339</f>
        <v>中</v>
      </c>
      <c r="O338">
        <f>装備閲覧!AA339</f>
        <v>0</v>
      </c>
      <c r="P338" s="1" t="str">
        <f>IFERROR(IFERROR(VLOOKUP(C338,改修!A:B,2,0),_xlfn.NUMBERVALUE(VLOOKUP(C338,特殊改修値!C:D,2,0))),"×")</f>
        <v>×</v>
      </c>
      <c r="Q338" t="str">
        <f>IFERROR(VLOOKUP(C338,装備ボーナス!B:C,2,0),"×")</f>
        <v>〇</v>
      </c>
      <c r="R338" t="str">
        <f>VLOOKUP(A338,wikiName!A:B,2,0)</f>
        <v>152mm／55 三連装速射砲改</v>
      </c>
    </row>
    <row r="339" spans="1:18" x14ac:dyDescent="0.4">
      <c r="A339">
        <f>装備閲覧!B340</f>
        <v>342</v>
      </c>
      <c r="B339" t="str">
        <f>装備閲覧!C340</f>
        <v>艦上攻撃機</v>
      </c>
      <c r="C339" t="str">
        <f>装備閲覧!D340</f>
        <v>流星改(一航戦)</v>
      </c>
      <c r="D339">
        <f>装備閲覧!H340</f>
        <v>8</v>
      </c>
      <c r="E339">
        <f>装備閲覧!J340</f>
        <v>0</v>
      </c>
      <c r="F339">
        <f>装備閲覧!K340</f>
        <v>14</v>
      </c>
      <c r="G339">
        <f>装備閲覧!L340</f>
        <v>2</v>
      </c>
      <c r="H339">
        <f>装備閲覧!M340</f>
        <v>0</v>
      </c>
      <c r="I339">
        <f>装備閲覧!N340</f>
        <v>6</v>
      </c>
      <c r="J339">
        <f>装備閲覧!O340</f>
        <v>0</v>
      </c>
      <c r="K339">
        <f>装備閲覧!P340</f>
        <v>4</v>
      </c>
      <c r="L339">
        <f>装備閲覧!R340</f>
        <v>1</v>
      </c>
      <c r="M339">
        <f>装備閲覧!S340</f>
        <v>0</v>
      </c>
      <c r="N339" t="str">
        <f>装備閲覧!T340</f>
        <v>無</v>
      </c>
      <c r="O339">
        <f>装備閲覧!AA340</f>
        <v>6</v>
      </c>
      <c r="P339" s="1" t="str">
        <f>IFERROR(IFERROR(VLOOKUP(C339,改修!A:B,2,0),_xlfn.NUMBERVALUE(VLOOKUP(C339,特殊改修値!C:D,2,0))),"×")</f>
        <v>×</v>
      </c>
      <c r="Q339" t="str">
        <f>IFERROR(VLOOKUP(C339,装備ボーナス!B:C,2,0),"×")</f>
        <v>〇</v>
      </c>
      <c r="R339" t="str">
        <f>VLOOKUP(A339,wikiName!A:B,2,0)</f>
        <v>流星改(一航戦)</v>
      </c>
    </row>
    <row r="340" spans="1:18" x14ac:dyDescent="0.4">
      <c r="A340">
        <f>装備閲覧!B341</f>
        <v>343</v>
      </c>
      <c r="B340" t="str">
        <f>装備閲覧!C341</f>
        <v>艦上攻撃機</v>
      </c>
      <c r="C340" t="str">
        <f>装備閲覧!D341</f>
        <v>流星改(一航戦/熟練)</v>
      </c>
      <c r="D340">
        <f>装備閲覧!H341</f>
        <v>8</v>
      </c>
      <c r="E340">
        <f>装備閲覧!J341</f>
        <v>0</v>
      </c>
      <c r="F340">
        <f>装備閲覧!K341</f>
        <v>15</v>
      </c>
      <c r="G340">
        <f>装備閲覧!L341</f>
        <v>3</v>
      </c>
      <c r="H340">
        <f>装備閲覧!M341</f>
        <v>0</v>
      </c>
      <c r="I340">
        <f>装備閲覧!N341</f>
        <v>7</v>
      </c>
      <c r="J340">
        <f>装備閲覧!O341</f>
        <v>0</v>
      </c>
      <c r="K340">
        <f>装備閲覧!P341</f>
        <v>6</v>
      </c>
      <c r="L340">
        <f>装備閲覧!R341</f>
        <v>2</v>
      </c>
      <c r="M340">
        <f>装備閲覧!S341</f>
        <v>0</v>
      </c>
      <c r="N340" t="str">
        <f>装備閲覧!T341</f>
        <v>無</v>
      </c>
      <c r="O340">
        <f>装備閲覧!AA341</f>
        <v>6</v>
      </c>
      <c r="P340" s="1">
        <f>IFERROR(IFERROR(VLOOKUP(C340,改修!A:B,2,0),_xlfn.NUMBERVALUE(VLOOKUP(C340,特殊改修値!C:D,2,0))),"×")</f>
        <v>2</v>
      </c>
      <c r="Q340" t="str">
        <f>IFERROR(VLOOKUP(C340,装備ボーナス!B:C,2,0),"×")</f>
        <v>〇</v>
      </c>
      <c r="R340" t="str">
        <f>VLOOKUP(A340,wikiName!A:B,2,0)</f>
        <v>流星改(一航戦／熟練)</v>
      </c>
    </row>
    <row r="341" spans="1:18" x14ac:dyDescent="0.4">
      <c r="A341">
        <f>装備閲覧!B342</f>
        <v>344</v>
      </c>
      <c r="B341" t="str">
        <f>装備閲覧!C342</f>
        <v>艦上攻撃機</v>
      </c>
      <c r="C341" t="str">
        <f>装備閲覧!D342</f>
        <v>九七式艦攻改 試製三号戊型(空六号電探改装備機)</v>
      </c>
      <c r="D341">
        <f>装備閲覧!H342</f>
        <v>46</v>
      </c>
      <c r="E341">
        <f>装備閲覧!J342</f>
        <v>0</v>
      </c>
      <c r="F341">
        <f>装備閲覧!K342</f>
        <v>7</v>
      </c>
      <c r="G341">
        <f>装備閲覧!L342</f>
        <v>0</v>
      </c>
      <c r="H341">
        <f>装備閲覧!M342</f>
        <v>0</v>
      </c>
      <c r="I341">
        <f>装備閲覧!N342</f>
        <v>6</v>
      </c>
      <c r="J341">
        <f>装備閲覧!O342</f>
        <v>0</v>
      </c>
      <c r="K341">
        <f>装備閲覧!P342</f>
        <v>4</v>
      </c>
      <c r="L341">
        <f>装備閲覧!R342</f>
        <v>1</v>
      </c>
      <c r="M341">
        <f>装備閲覧!S342</f>
        <v>0</v>
      </c>
      <c r="N341" t="str">
        <f>装備閲覧!T342</f>
        <v>無</v>
      </c>
      <c r="O341">
        <f>装備閲覧!AA342</f>
        <v>4</v>
      </c>
      <c r="P341" s="1" t="str">
        <f>IFERROR(IFERROR(VLOOKUP(C341,改修!A:B,2,0),_xlfn.NUMBERVALUE(VLOOKUP(C341,特殊改修値!C:D,2,0))),"×")</f>
        <v>〇</v>
      </c>
      <c r="Q341" t="str">
        <f>IFERROR(VLOOKUP(C341,装備ボーナス!B:C,2,0),"×")</f>
        <v>〇</v>
      </c>
      <c r="R341" t="str">
        <f>VLOOKUP(A341,wikiName!A:B,2,0)</f>
        <v>九七式艦攻改 試製三号戊型(空六号電探改装備機)</v>
      </c>
    </row>
    <row r="342" spans="1:18" x14ac:dyDescent="0.4">
      <c r="A342">
        <f>装備閲覧!B343</f>
        <v>345</v>
      </c>
      <c r="B342" t="str">
        <f>装備閲覧!C343</f>
        <v>艦上攻撃機</v>
      </c>
      <c r="C342" t="str">
        <f>装備閲覧!D343</f>
        <v>九七式艦攻改(熟練) 試製三号戊型(空六号電探改装備機)</v>
      </c>
      <c r="D342">
        <f>装備閲覧!H343</f>
        <v>46</v>
      </c>
      <c r="E342">
        <f>装備閲覧!J343</f>
        <v>0</v>
      </c>
      <c r="F342">
        <f>装備閲覧!K343</f>
        <v>9</v>
      </c>
      <c r="G342">
        <f>装備閲覧!L343</f>
        <v>0</v>
      </c>
      <c r="H342">
        <f>装備閲覧!M343</f>
        <v>0</v>
      </c>
      <c r="I342">
        <f>装備閲覧!N343</f>
        <v>7</v>
      </c>
      <c r="J342">
        <f>装備閲覧!O343</f>
        <v>0</v>
      </c>
      <c r="K342">
        <f>装備閲覧!P343</f>
        <v>5</v>
      </c>
      <c r="L342">
        <f>装備閲覧!R343</f>
        <v>2</v>
      </c>
      <c r="M342">
        <f>装備閲覧!S343</f>
        <v>0</v>
      </c>
      <c r="N342" t="str">
        <f>装備閲覧!T343</f>
        <v>無</v>
      </c>
      <c r="O342">
        <f>装備閲覧!AA343</f>
        <v>4</v>
      </c>
      <c r="P342" s="1" t="str">
        <f>IFERROR(IFERROR(VLOOKUP(C342,改修!A:B,2,0),_xlfn.NUMBERVALUE(VLOOKUP(C342,特殊改修値!C:D,2,0))),"×")</f>
        <v>×</v>
      </c>
      <c r="Q342" t="str">
        <f>IFERROR(VLOOKUP(C342,装備ボーナス!B:C,2,0),"×")</f>
        <v>〇</v>
      </c>
      <c r="R342" t="str">
        <f>VLOOKUP(A342,wikiName!A:B,2,0)</f>
        <v>九七式艦攻改(熟練) 試製三号戊型(空六号電探改装備機)</v>
      </c>
    </row>
    <row r="343" spans="1:18" x14ac:dyDescent="0.4">
      <c r="A343">
        <f>装備閲覧!B344</f>
        <v>346</v>
      </c>
      <c r="B343" t="str">
        <f>装備閲覧!C344</f>
        <v>爆雷</v>
      </c>
      <c r="C343" t="str">
        <f>装備閲覧!D344</f>
        <v>二式12cm迫撃砲改</v>
      </c>
      <c r="D343">
        <f>装備閲覧!H344</f>
        <v>17</v>
      </c>
      <c r="E343">
        <f>装備閲覧!J344</f>
        <v>0</v>
      </c>
      <c r="F343">
        <f>装備閲覧!K344</f>
        <v>0</v>
      </c>
      <c r="G343">
        <f>装備閲覧!L344</f>
        <v>0</v>
      </c>
      <c r="H343">
        <f>装備閲覧!M344</f>
        <v>0</v>
      </c>
      <c r="I343">
        <f>装備閲覧!N344</f>
        <v>3</v>
      </c>
      <c r="J343">
        <f>装備閲覧!O344</f>
        <v>1</v>
      </c>
      <c r="K343">
        <f>装備閲覧!P344</f>
        <v>0</v>
      </c>
      <c r="L343">
        <f>装備閲覧!R344</f>
        <v>0</v>
      </c>
      <c r="M343">
        <f>装備閲覧!S344</f>
        <v>0</v>
      </c>
      <c r="N343" t="str">
        <f>装備閲覧!T344</f>
        <v>無</v>
      </c>
      <c r="O343">
        <f>装備閲覧!AA344</f>
        <v>0</v>
      </c>
      <c r="P343" s="1" t="str">
        <f>IFERROR(IFERROR(VLOOKUP(C343,改修!A:B,2,0),_xlfn.NUMBERVALUE(VLOOKUP(C343,特殊改修値!C:D,2,0))),"×")</f>
        <v>〇</v>
      </c>
      <c r="Q343" t="str">
        <f>IFERROR(VLOOKUP(C343,装備ボーナス!B:C,2,0),"×")</f>
        <v>×</v>
      </c>
      <c r="R343" t="str">
        <f>VLOOKUP(A343,wikiName!A:B,2,0)</f>
        <v>二式12cm迫撃砲改</v>
      </c>
    </row>
    <row r="344" spans="1:18" x14ac:dyDescent="0.4">
      <c r="A344">
        <f>装備閲覧!B345</f>
        <v>347</v>
      </c>
      <c r="B344" t="str">
        <f>装備閲覧!C345</f>
        <v>爆雷</v>
      </c>
      <c r="C344" t="str">
        <f>装備閲覧!D345</f>
        <v>二式12cm迫撃砲改 集中配備</v>
      </c>
      <c r="D344">
        <f>装備閲覧!H345</f>
        <v>17</v>
      </c>
      <c r="E344">
        <f>装備閲覧!J345</f>
        <v>0</v>
      </c>
      <c r="F344">
        <f>装備閲覧!K345</f>
        <v>0</v>
      </c>
      <c r="G344">
        <f>装備閲覧!L345</f>
        <v>0</v>
      </c>
      <c r="H344">
        <f>装備閲覧!M345</f>
        <v>-1</v>
      </c>
      <c r="I344">
        <f>装備閲覧!N345</f>
        <v>7</v>
      </c>
      <c r="J344">
        <f>装備閲覧!O345</f>
        <v>1</v>
      </c>
      <c r="K344">
        <f>装備閲覧!P345</f>
        <v>0</v>
      </c>
      <c r="L344">
        <f>装備閲覧!R345</f>
        <v>0</v>
      </c>
      <c r="M344">
        <f>装備閲覧!S345</f>
        <v>0</v>
      </c>
      <c r="N344" t="str">
        <f>装備閲覧!T345</f>
        <v>無</v>
      </c>
      <c r="O344">
        <f>装備閲覧!AA345</f>
        <v>0</v>
      </c>
      <c r="P344" s="1" t="str">
        <f>IFERROR(IFERROR(VLOOKUP(C344,改修!A:B,2,0),_xlfn.NUMBERVALUE(VLOOKUP(C344,特殊改修値!C:D,2,0))),"×")</f>
        <v>×</v>
      </c>
      <c r="Q344" t="str">
        <f>IFERROR(VLOOKUP(C344,装備ボーナス!B:C,2,0),"×")</f>
        <v>×</v>
      </c>
      <c r="R344" t="str">
        <f>VLOOKUP(A344,wikiName!A:B,2,0)</f>
        <v>二式12cm迫撃砲改 集中配備</v>
      </c>
    </row>
    <row r="345" spans="1:18" x14ac:dyDescent="0.4">
      <c r="A345">
        <f>装備閲覧!B346</f>
        <v>348</v>
      </c>
      <c r="B345" t="str">
        <f>装備閲覧!C346</f>
        <v>対地装備</v>
      </c>
      <c r="C345" t="str">
        <f>装備閲覧!D346</f>
        <v>艦載型 四式20cm対地噴進砲</v>
      </c>
      <c r="D345">
        <f>装備閲覧!H346</f>
        <v>31</v>
      </c>
      <c r="E345">
        <f>装備閲覧!J346</f>
        <v>0</v>
      </c>
      <c r="F345">
        <f>装備閲覧!K346</f>
        <v>0</v>
      </c>
      <c r="G345">
        <f>装備閲覧!L346</f>
        <v>0</v>
      </c>
      <c r="H345">
        <f>装備閲覧!M346</f>
        <v>-2</v>
      </c>
      <c r="I345">
        <f>装備閲覧!N346</f>
        <v>0</v>
      </c>
      <c r="J345">
        <f>装備閲覧!O346</f>
        <v>0</v>
      </c>
      <c r="K345">
        <f>装備閲覧!P346</f>
        <v>0</v>
      </c>
      <c r="L345">
        <f>装備閲覧!R346</f>
        <v>0</v>
      </c>
      <c r="M345">
        <f>装備閲覧!S346</f>
        <v>0</v>
      </c>
      <c r="N345" t="str">
        <f>装備閲覧!T346</f>
        <v>無</v>
      </c>
      <c r="O345">
        <f>装備閲覧!AA346</f>
        <v>0</v>
      </c>
      <c r="P345" s="1" t="str">
        <f>IFERROR(IFERROR(VLOOKUP(C345,改修!A:B,2,0),_xlfn.NUMBERVALUE(VLOOKUP(C345,特殊改修値!C:D,2,0))),"×")</f>
        <v>〇</v>
      </c>
      <c r="Q345" t="str">
        <f>IFERROR(VLOOKUP(C345,装備ボーナス!B:C,2,0),"×")</f>
        <v>×</v>
      </c>
      <c r="R345" t="str">
        <f>VLOOKUP(A345,wikiName!A:B,2,0)</f>
        <v>艦載型 四式20cm対地噴進砲</v>
      </c>
    </row>
    <row r="346" spans="1:18" x14ac:dyDescent="0.4">
      <c r="A346">
        <f>装備閲覧!B347</f>
        <v>349</v>
      </c>
      <c r="B346" t="str">
        <f>装備閲覧!C347</f>
        <v>対地装備</v>
      </c>
      <c r="C346" t="str">
        <f>装備閲覧!D347</f>
        <v>四式20cm対地噴進砲 集中配備</v>
      </c>
      <c r="D346">
        <f>装備閲覧!H347</f>
        <v>31</v>
      </c>
      <c r="E346">
        <f>装備閲覧!J347</f>
        <v>1</v>
      </c>
      <c r="F346">
        <f>装備閲覧!K347</f>
        <v>0</v>
      </c>
      <c r="G346">
        <f>装備閲覧!L347</f>
        <v>0</v>
      </c>
      <c r="H346">
        <f>装備閲覧!M347</f>
        <v>-4</v>
      </c>
      <c r="I346">
        <f>装備閲覧!N347</f>
        <v>0</v>
      </c>
      <c r="J346">
        <f>装備閲覧!O347</f>
        <v>0</v>
      </c>
      <c r="K346">
        <f>装備閲覧!P347</f>
        <v>0</v>
      </c>
      <c r="L346">
        <f>装備閲覧!R347</f>
        <v>0</v>
      </c>
      <c r="M346">
        <f>装備閲覧!S347</f>
        <v>0</v>
      </c>
      <c r="N346" t="str">
        <f>装備閲覧!T347</f>
        <v>無</v>
      </c>
      <c r="O346">
        <f>装備閲覧!AA347</f>
        <v>0</v>
      </c>
      <c r="P346" s="1" t="str">
        <f>IFERROR(IFERROR(VLOOKUP(C346,改修!A:B,2,0),_xlfn.NUMBERVALUE(VLOOKUP(C346,特殊改修値!C:D,2,0))),"×")</f>
        <v>×</v>
      </c>
      <c r="Q346" t="str">
        <f>IFERROR(VLOOKUP(C346,装備ボーナス!B:C,2,0),"×")</f>
        <v>×</v>
      </c>
      <c r="R346" t="str">
        <f>VLOOKUP(A346,wikiName!A:B,2,0)</f>
        <v>四式20cm対地噴進砲 集中配備</v>
      </c>
    </row>
    <row r="347" spans="1:18" x14ac:dyDescent="0.4">
      <c r="A347">
        <f>装備閲覧!B348</f>
        <v>350</v>
      </c>
      <c r="B347" t="str">
        <f>装備閲覧!C348</f>
        <v>局地戦闘機</v>
      </c>
      <c r="C347" t="str">
        <f>装備閲覧!D348</f>
        <v>Me163B</v>
      </c>
      <c r="D347">
        <f>装備閲覧!H348</f>
        <v>38</v>
      </c>
      <c r="E347">
        <f>装備閲覧!J348</f>
        <v>0</v>
      </c>
      <c r="F347">
        <f>装備閲覧!K348</f>
        <v>0</v>
      </c>
      <c r="G347">
        <f>装備閲覧!L348</f>
        <v>2</v>
      </c>
      <c r="H347">
        <f>装備閲覧!M348</f>
        <v>0</v>
      </c>
      <c r="I347">
        <f>装備閲覧!N348</f>
        <v>0</v>
      </c>
      <c r="J347">
        <f>装備閲覧!O348</f>
        <v>0</v>
      </c>
      <c r="K347">
        <f>装備閲覧!P348</f>
        <v>0</v>
      </c>
      <c r="L347">
        <f>装備閲覧!R348</f>
        <v>9</v>
      </c>
      <c r="M347">
        <f>装備閲覧!S348</f>
        <v>0</v>
      </c>
      <c r="N347" t="str">
        <f>装備閲覧!T348</f>
        <v>無</v>
      </c>
      <c r="O347">
        <f>装備閲覧!AA348</f>
        <v>1</v>
      </c>
      <c r="P347" s="1" t="str">
        <f>IFERROR(IFERROR(VLOOKUP(C347,改修!A:B,2,0),_xlfn.NUMBERVALUE(VLOOKUP(C347,特殊改修値!C:D,2,0))),"×")</f>
        <v>×</v>
      </c>
      <c r="Q347" t="str">
        <f>IFERROR(VLOOKUP(C347,装備ボーナス!B:C,2,0),"×")</f>
        <v>×</v>
      </c>
      <c r="R347" t="str">
        <f>VLOOKUP(A347,wikiName!A:B,2,0)</f>
        <v>Me163B</v>
      </c>
    </row>
    <row r="348" spans="1:18" x14ac:dyDescent="0.4">
      <c r="A348">
        <f>装備閲覧!B349</f>
        <v>351</v>
      </c>
      <c r="B348" t="str">
        <f>装備閲覧!C349</f>
        <v>局地戦闘機</v>
      </c>
      <c r="C348" t="str">
        <f>装備閲覧!D349</f>
        <v>試製 秋水</v>
      </c>
      <c r="D348">
        <f>装備閲覧!H349</f>
        <v>38</v>
      </c>
      <c r="E348">
        <f>装備閲覧!J349</f>
        <v>0</v>
      </c>
      <c r="F348">
        <f>装備閲覧!K349</f>
        <v>0</v>
      </c>
      <c r="G348">
        <f>装備閲覧!L349</f>
        <v>2</v>
      </c>
      <c r="H348">
        <f>装備閲覧!M349</f>
        <v>0</v>
      </c>
      <c r="I348">
        <f>装備閲覧!N349</f>
        <v>0</v>
      </c>
      <c r="J348">
        <f>装備閲覧!O349</f>
        <v>0</v>
      </c>
      <c r="K348">
        <f>装備閲覧!P349</f>
        <v>0</v>
      </c>
      <c r="L348">
        <f>装備閲覧!R349</f>
        <v>8</v>
      </c>
      <c r="M348">
        <f>装備閲覧!S349</f>
        <v>0</v>
      </c>
      <c r="N348" t="str">
        <f>装備閲覧!T349</f>
        <v>無</v>
      </c>
      <c r="O348">
        <f>装備閲覧!AA349</f>
        <v>1</v>
      </c>
      <c r="P348" s="1" t="str">
        <f>IFERROR(IFERROR(VLOOKUP(C348,改修!A:B,2,0),_xlfn.NUMBERVALUE(VLOOKUP(C348,特殊改修値!C:D,2,0))),"×")</f>
        <v>×</v>
      </c>
      <c r="Q348" t="str">
        <f>IFERROR(VLOOKUP(C348,装備ボーナス!B:C,2,0),"×")</f>
        <v>×</v>
      </c>
      <c r="R348" t="str">
        <f>VLOOKUP(A348,wikiName!A:B,2,0)</f>
        <v>試製 秋水</v>
      </c>
    </row>
    <row r="349" spans="1:18" x14ac:dyDescent="0.4">
      <c r="A349">
        <f>装備閲覧!B350</f>
        <v>352</v>
      </c>
      <c r="B349" t="str">
        <f>装備閲覧!C350</f>
        <v>局地戦闘機</v>
      </c>
      <c r="C349" t="str">
        <f>装備閲覧!D350</f>
        <v>秋水</v>
      </c>
      <c r="D349">
        <f>装備閲覧!H350</f>
        <v>38</v>
      </c>
      <c r="E349">
        <f>装備閲覧!J350</f>
        <v>0</v>
      </c>
      <c r="F349">
        <f>装備閲覧!K350</f>
        <v>0</v>
      </c>
      <c r="G349">
        <f>装備閲覧!L350</f>
        <v>3</v>
      </c>
      <c r="H349">
        <f>装備閲覧!M350</f>
        <v>0</v>
      </c>
      <c r="I349">
        <f>装備閲覧!N350</f>
        <v>0</v>
      </c>
      <c r="J349">
        <f>装備閲覧!O350</f>
        <v>0</v>
      </c>
      <c r="K349">
        <f>装備閲覧!P350</f>
        <v>0</v>
      </c>
      <c r="L349">
        <f>装備閲覧!R350</f>
        <v>9</v>
      </c>
      <c r="M349">
        <f>装備閲覧!S350</f>
        <v>0</v>
      </c>
      <c r="N349" t="str">
        <f>装備閲覧!T350</f>
        <v>無</v>
      </c>
      <c r="O349">
        <f>装備閲覧!AA350</f>
        <v>1</v>
      </c>
      <c r="P349" s="1" t="str">
        <f>IFERROR(IFERROR(VLOOKUP(C349,改修!A:B,2,0),_xlfn.NUMBERVALUE(VLOOKUP(C349,特殊改修値!C:D,2,0))),"×")</f>
        <v>×</v>
      </c>
      <c r="Q349" t="str">
        <f>IFERROR(VLOOKUP(C349,装備ボーナス!B:C,2,0),"×")</f>
        <v>×</v>
      </c>
      <c r="R349" t="str">
        <f>VLOOKUP(A349,wikiName!A:B,2,0)</f>
        <v>秋水</v>
      </c>
    </row>
    <row r="350" spans="1:18" x14ac:dyDescent="0.4">
      <c r="A350">
        <f>装備閲覧!B351</f>
        <v>353</v>
      </c>
      <c r="B350" t="str">
        <f>装備閲覧!C351</f>
        <v>艦上戦闘機</v>
      </c>
      <c r="C350" t="str">
        <f>装備閲覧!D351</f>
        <v>Fw190 A-5改(熟練)</v>
      </c>
      <c r="D350">
        <f>装備閲覧!H351</f>
        <v>6</v>
      </c>
      <c r="E350">
        <f>装備閲覧!J351</f>
        <v>2</v>
      </c>
      <c r="F350">
        <f>装備閲覧!K351</f>
        <v>0</v>
      </c>
      <c r="G350">
        <f>装備閲覧!L351</f>
        <v>11</v>
      </c>
      <c r="H350">
        <f>装備閲覧!M351</f>
        <v>0</v>
      </c>
      <c r="I350">
        <f>装備閲覧!N351</f>
        <v>0</v>
      </c>
      <c r="J350">
        <f>装備閲覧!O351</f>
        <v>3</v>
      </c>
      <c r="K350">
        <f>装備閲覧!P351</f>
        <v>0</v>
      </c>
      <c r="L350">
        <f>装備閲覧!R351</f>
        <v>1</v>
      </c>
      <c r="M350">
        <f>装備閲覧!S351</f>
        <v>0</v>
      </c>
      <c r="N350" t="str">
        <f>装備閲覧!T351</f>
        <v>無</v>
      </c>
      <c r="O350">
        <f>装備閲覧!AA351</f>
        <v>4</v>
      </c>
      <c r="P350" s="1" t="str">
        <f>IFERROR(IFERROR(VLOOKUP(C350,改修!A:B,2,0),_xlfn.NUMBERVALUE(VLOOKUP(C350,特殊改修値!C:D,2,0))),"×")</f>
        <v>×</v>
      </c>
      <c r="Q350" t="str">
        <f>IFERROR(VLOOKUP(C350,装備ボーナス!B:C,2,0),"×")</f>
        <v>×</v>
      </c>
      <c r="R350" t="str">
        <f>VLOOKUP(A350,wikiName!A:B,2,0)</f>
        <v>Fw190 A-5改(熟練)</v>
      </c>
    </row>
    <row r="351" spans="1:18" x14ac:dyDescent="0.4">
      <c r="A351">
        <f>装備閲覧!B352</f>
        <v>354</v>
      </c>
      <c r="B351" t="str">
        <f>装備閲覧!C352</f>
        <v>局地戦闘機</v>
      </c>
      <c r="C351" t="str">
        <f>装備閲覧!D352</f>
        <v>Fw190 D-9</v>
      </c>
      <c r="D351">
        <f>装備閲覧!H352</f>
        <v>38</v>
      </c>
      <c r="E351">
        <f>装備閲覧!J352</f>
        <v>2</v>
      </c>
      <c r="F351">
        <f>装備閲覧!K352</f>
        <v>0</v>
      </c>
      <c r="G351">
        <f>装備閲覧!L352</f>
        <v>12</v>
      </c>
      <c r="H351">
        <f>装備閲覧!M352</f>
        <v>0</v>
      </c>
      <c r="I351">
        <f>装備閲覧!N352</f>
        <v>0</v>
      </c>
      <c r="J351">
        <f>装備閲覧!O352</f>
        <v>3</v>
      </c>
      <c r="K351">
        <f>装備閲覧!P352</f>
        <v>0</v>
      </c>
      <c r="L351">
        <f>装備閲覧!R352</f>
        <v>3</v>
      </c>
      <c r="M351">
        <f>装備閲覧!S352</f>
        <v>0</v>
      </c>
      <c r="N351" t="str">
        <f>装備閲覧!T352</f>
        <v>無</v>
      </c>
      <c r="O351">
        <f>装備閲覧!AA352</f>
        <v>3</v>
      </c>
      <c r="P351" s="1" t="str">
        <f>IFERROR(IFERROR(VLOOKUP(C351,改修!A:B,2,0),_xlfn.NUMBERVALUE(VLOOKUP(C351,特殊改修値!C:D,2,0))),"×")</f>
        <v>×</v>
      </c>
      <c r="Q351" t="str">
        <f>IFERROR(VLOOKUP(C351,装備ボーナス!B:C,2,0),"×")</f>
        <v>×</v>
      </c>
      <c r="R351" t="str">
        <f>VLOOKUP(A351,wikiName!A:B,2,0)</f>
        <v>Fw190 D-9</v>
      </c>
    </row>
    <row r="352" spans="1:18" x14ac:dyDescent="0.4">
      <c r="A352">
        <f>装備閲覧!B353</f>
        <v>355</v>
      </c>
      <c r="B352" t="str">
        <f>装備閲覧!C353</f>
        <v>上陸用舟艇</v>
      </c>
      <c r="C352" t="str">
        <f>装備閲覧!D353</f>
        <v>M4A1 DD</v>
      </c>
      <c r="D352">
        <f>装備閲覧!H353</f>
        <v>20</v>
      </c>
      <c r="E352">
        <f>装備閲覧!J353</f>
        <v>2</v>
      </c>
      <c r="F352">
        <f>装備閲覧!K353</f>
        <v>0</v>
      </c>
      <c r="G352">
        <f>装備閲覧!L353</f>
        <v>0</v>
      </c>
      <c r="H352">
        <f>装備閲覧!M353</f>
        <v>0</v>
      </c>
      <c r="I352">
        <f>装備閲覧!N353</f>
        <v>0</v>
      </c>
      <c r="J352">
        <f>装備閲覧!O353</f>
        <v>-1</v>
      </c>
      <c r="K352">
        <f>装備閲覧!P353</f>
        <v>0</v>
      </c>
      <c r="L352">
        <f>装備閲覧!R353</f>
        <v>0</v>
      </c>
      <c r="M352">
        <f>装備閲覧!S353</f>
        <v>0</v>
      </c>
      <c r="N352" t="str">
        <f>装備閲覧!T353</f>
        <v>無</v>
      </c>
      <c r="O352">
        <f>装備閲覧!AA353</f>
        <v>0</v>
      </c>
      <c r="P352" s="1" t="str">
        <f>IFERROR(IFERROR(VLOOKUP(C352,改修!A:B,2,0),_xlfn.NUMBERVALUE(VLOOKUP(C352,特殊改修値!C:D,2,0))),"×")</f>
        <v>×</v>
      </c>
      <c r="Q352" t="str">
        <f>IFERROR(VLOOKUP(C352,装備ボーナス!B:C,2,0),"×")</f>
        <v>×</v>
      </c>
      <c r="R352" t="str">
        <f>VLOOKUP(A352,wikiName!A:B,2,0)</f>
        <v>M4A1 DD</v>
      </c>
    </row>
    <row r="353" spans="1:18" x14ac:dyDescent="0.4">
      <c r="A353">
        <f>装備閲覧!B354</f>
        <v>356</v>
      </c>
      <c r="B353" t="str">
        <f>装備閲覧!C354</f>
        <v>中口径主砲</v>
      </c>
      <c r="C353" t="str">
        <f>装備閲覧!D354</f>
        <v>8inch三連装砲 Mk.9</v>
      </c>
      <c r="D353">
        <f>装備閲覧!H354</f>
        <v>2</v>
      </c>
      <c r="E353">
        <f>装備閲覧!J354</f>
        <v>11</v>
      </c>
      <c r="F353">
        <f>装備閲覧!K354</f>
        <v>0</v>
      </c>
      <c r="G353">
        <f>装備閲覧!L354</f>
        <v>1</v>
      </c>
      <c r="H353">
        <f>装備閲覧!M354</f>
        <v>0</v>
      </c>
      <c r="I353">
        <f>装備閲覧!N354</f>
        <v>0</v>
      </c>
      <c r="J353">
        <f>装備閲覧!O354</f>
        <v>-1</v>
      </c>
      <c r="K353">
        <f>装備閲覧!P354</f>
        <v>0</v>
      </c>
      <c r="L353">
        <f>装備閲覧!R354</f>
        <v>0</v>
      </c>
      <c r="M353">
        <f>装備閲覧!S354</f>
        <v>0</v>
      </c>
      <c r="N353" t="str">
        <f>装備閲覧!T354</f>
        <v>中</v>
      </c>
      <c r="O353">
        <f>装備閲覧!AA354</f>
        <v>0</v>
      </c>
      <c r="P353" s="1" t="str">
        <f>IFERROR(IFERROR(VLOOKUP(C353,改修!A:B,2,0),_xlfn.NUMBERVALUE(VLOOKUP(C353,特殊改修値!C:D,2,0))),"×")</f>
        <v>〇</v>
      </c>
      <c r="Q353" t="str">
        <f>IFERROR(VLOOKUP(C353,装備ボーナス!B:C,2,0),"×")</f>
        <v>〇</v>
      </c>
      <c r="R353" t="str">
        <f>VLOOKUP(A353,wikiName!A:B,2,0)</f>
        <v>8inch三連装砲 Mk.9</v>
      </c>
    </row>
    <row r="354" spans="1:18" x14ac:dyDescent="0.4">
      <c r="A354">
        <f>装備閲覧!B355</f>
        <v>357</v>
      </c>
      <c r="B354" t="str">
        <f>装備閲覧!C355</f>
        <v>中口径主砲</v>
      </c>
      <c r="C354" t="str">
        <f>装備閲覧!D355</f>
        <v>8inch三連装砲 Mk.9 mod.2</v>
      </c>
      <c r="D354">
        <f>装備閲覧!H355</f>
        <v>2</v>
      </c>
      <c r="E354">
        <f>装備閲覧!J355</f>
        <v>12</v>
      </c>
      <c r="F354">
        <f>装備閲覧!K355</f>
        <v>0</v>
      </c>
      <c r="G354">
        <f>装備閲覧!L355</f>
        <v>2</v>
      </c>
      <c r="H354">
        <f>装備閲覧!M355</f>
        <v>0</v>
      </c>
      <c r="I354">
        <f>装備閲覧!N355</f>
        <v>0</v>
      </c>
      <c r="J354">
        <f>装備閲覧!O355</f>
        <v>-1</v>
      </c>
      <c r="K354">
        <f>装備閲覧!P355</f>
        <v>0</v>
      </c>
      <c r="L354">
        <f>装備閲覧!R355</f>
        <v>1</v>
      </c>
      <c r="M354">
        <f>装備閲覧!S355</f>
        <v>0</v>
      </c>
      <c r="N354" t="str">
        <f>装備閲覧!T355</f>
        <v>中</v>
      </c>
      <c r="O354">
        <f>装備閲覧!AA355</f>
        <v>0</v>
      </c>
      <c r="P354" s="1" t="str">
        <f>IFERROR(IFERROR(VLOOKUP(C354,改修!A:B,2,0),_xlfn.NUMBERVALUE(VLOOKUP(C354,特殊改修値!C:D,2,0))),"×")</f>
        <v>〇</v>
      </c>
      <c r="Q354" t="str">
        <f>IFERROR(VLOOKUP(C354,装備ボーナス!B:C,2,0),"×")</f>
        <v>〇</v>
      </c>
      <c r="R354" t="str">
        <f>VLOOKUP(A354,wikiName!A:B,2,0)</f>
        <v>8inch三連装砲 Mk.9 mod.2</v>
      </c>
    </row>
    <row r="355" spans="1:18" x14ac:dyDescent="0.4">
      <c r="A355">
        <f>装備閲覧!B356</f>
        <v>358</v>
      </c>
      <c r="B355" t="str">
        <f>装備閲覧!C356</f>
        <v>副砲</v>
      </c>
      <c r="C355" t="str">
        <f>装備閲覧!D356</f>
        <v>5inch 単装高角砲群</v>
      </c>
      <c r="D355">
        <f>装備閲覧!H356</f>
        <v>16</v>
      </c>
      <c r="E355">
        <f>装備閲覧!J356</f>
        <v>2</v>
      </c>
      <c r="F355">
        <f>装備閲覧!K356</f>
        <v>0</v>
      </c>
      <c r="G355">
        <f>装備閲覧!L356</f>
        <v>6</v>
      </c>
      <c r="H355">
        <f>装備閲覧!M356</f>
        <v>1</v>
      </c>
      <c r="I355">
        <f>装備閲覧!N356</f>
        <v>0</v>
      </c>
      <c r="J355">
        <f>装備閲覧!O356</f>
        <v>1</v>
      </c>
      <c r="K355">
        <f>装備閲覧!P356</f>
        <v>0</v>
      </c>
      <c r="L355">
        <f>装備閲覧!R356</f>
        <v>1</v>
      </c>
      <c r="M355">
        <f>装備閲覧!S356</f>
        <v>0</v>
      </c>
      <c r="N355" t="str">
        <f>装備閲覧!T356</f>
        <v>短</v>
      </c>
      <c r="O355">
        <f>装備閲覧!AA356</f>
        <v>0</v>
      </c>
      <c r="P355" s="1">
        <f>IFERROR(IFERROR(VLOOKUP(C355,改修!A:B,2,0),_xlfn.NUMBERVALUE(VLOOKUP(C355,特殊改修値!C:D,2,0))),"×")</f>
        <v>4</v>
      </c>
      <c r="Q355" t="str">
        <f>IFERROR(VLOOKUP(C355,装備ボーナス!B:C,2,0),"×")</f>
        <v>〇</v>
      </c>
      <c r="R355" t="str">
        <f>VLOOKUP(A355,wikiName!A:B,2,0)</f>
        <v>5inch 単装高角砲群</v>
      </c>
    </row>
    <row r="356" spans="1:18" x14ac:dyDescent="0.4">
      <c r="A356">
        <f>装備閲覧!B357</f>
        <v>359</v>
      </c>
      <c r="B356" t="str">
        <f>装備閲覧!C357</f>
        <v>中口径主砲</v>
      </c>
      <c r="C356" t="str">
        <f>装備閲覧!D357</f>
        <v>6inch 連装速射砲 Mk.XXI</v>
      </c>
      <c r="D356">
        <f>装備閲覧!H357</f>
        <v>2</v>
      </c>
      <c r="E356">
        <f>装備閲覧!J357</f>
        <v>5</v>
      </c>
      <c r="F356">
        <f>装備閲覧!K357</f>
        <v>0</v>
      </c>
      <c r="G356">
        <f>装備閲覧!L357</f>
        <v>3</v>
      </c>
      <c r="H356">
        <f>装備閲覧!M357</f>
        <v>1</v>
      </c>
      <c r="I356">
        <f>装備閲覧!N357</f>
        <v>0</v>
      </c>
      <c r="J356">
        <f>装備閲覧!O357</f>
        <v>1</v>
      </c>
      <c r="K356">
        <f>装備閲覧!P357</f>
        <v>0</v>
      </c>
      <c r="L356">
        <f>装備閲覧!R357</f>
        <v>2</v>
      </c>
      <c r="M356">
        <f>装備閲覧!S357</f>
        <v>0</v>
      </c>
      <c r="N356" t="str">
        <f>装備閲覧!T357</f>
        <v>中</v>
      </c>
      <c r="O356">
        <f>装備閲覧!AA357</f>
        <v>0</v>
      </c>
      <c r="P356" s="1">
        <f>IFERROR(IFERROR(VLOOKUP(C356,改修!A:B,2,0),_xlfn.NUMBERVALUE(VLOOKUP(C356,特殊改修値!C:D,2,0))),"×")</f>
        <v>8</v>
      </c>
      <c r="Q356" t="str">
        <f>IFERROR(VLOOKUP(C356,装備ボーナス!B:C,2,0),"×")</f>
        <v>〇</v>
      </c>
      <c r="R356" t="str">
        <f>VLOOKUP(A356,wikiName!A:B,2,0)</f>
        <v>6inch 連装速射砲 Mk.XXI</v>
      </c>
    </row>
    <row r="357" spans="1:18" x14ac:dyDescent="0.4">
      <c r="A357">
        <f>装備閲覧!B358</f>
        <v>360</v>
      </c>
      <c r="B357" t="str">
        <f>装備閲覧!C358</f>
        <v>中口径主砲</v>
      </c>
      <c r="C357" t="str">
        <f>装備閲覧!D358</f>
        <v>Bofors 15cm連装速射砲 Mk.9 Model 1938</v>
      </c>
      <c r="D357">
        <f>装備閲覧!H358</f>
        <v>2</v>
      </c>
      <c r="E357">
        <f>装備閲覧!J358</f>
        <v>6</v>
      </c>
      <c r="F357">
        <f>装備閲覧!K358</f>
        <v>0</v>
      </c>
      <c r="G357">
        <f>装備閲覧!L358</f>
        <v>5</v>
      </c>
      <c r="H357">
        <f>装備閲覧!M358</f>
        <v>0</v>
      </c>
      <c r="I357">
        <f>装備閲覧!N358</f>
        <v>0</v>
      </c>
      <c r="J357">
        <f>装備閲覧!O358</f>
        <v>2</v>
      </c>
      <c r="K357">
        <f>装備閲覧!P358</f>
        <v>0</v>
      </c>
      <c r="L357">
        <f>装備閲覧!R358</f>
        <v>3</v>
      </c>
      <c r="M357">
        <f>装備閲覧!S358</f>
        <v>0</v>
      </c>
      <c r="N357" t="str">
        <f>装備閲覧!T358</f>
        <v>中</v>
      </c>
      <c r="O357">
        <f>装備閲覧!AA358</f>
        <v>0</v>
      </c>
      <c r="P357" s="1" t="str">
        <f>IFERROR(IFERROR(VLOOKUP(C357,改修!A:B,2,0),_xlfn.NUMBERVALUE(VLOOKUP(C357,特殊改修値!C:D,2,0))),"×")</f>
        <v>×</v>
      </c>
      <c r="Q357" t="str">
        <f>IFERROR(VLOOKUP(C357,装備ボーナス!B:C,2,0),"×")</f>
        <v>〇</v>
      </c>
      <c r="R357" t="str">
        <f>VLOOKUP(A357,wikiName!A:B,2,0)</f>
        <v>Bofors 15cm連装速射砲 Mk.9 Model 1938</v>
      </c>
    </row>
    <row r="358" spans="1:18" x14ac:dyDescent="0.4">
      <c r="A358">
        <f>装備閲覧!B359</f>
        <v>361</v>
      </c>
      <c r="B358" t="str">
        <f>装備閲覧!C359</f>
        <v>中口径主砲</v>
      </c>
      <c r="C358" t="str">
        <f>装備閲覧!D359</f>
        <v>Bofors 15cm連装速射砲 Mk.9改+単装速射砲 Mk.10改 Model 1938</v>
      </c>
      <c r="D358">
        <f>装備閲覧!H359</f>
        <v>2</v>
      </c>
      <c r="E358">
        <f>装備閲覧!J359</f>
        <v>7</v>
      </c>
      <c r="F358">
        <f>装備閲覧!K359</f>
        <v>0</v>
      </c>
      <c r="G358">
        <f>装備閲覧!L359</f>
        <v>6</v>
      </c>
      <c r="H358">
        <f>装備閲覧!M359</f>
        <v>-1</v>
      </c>
      <c r="I358">
        <f>装備閲覧!N359</f>
        <v>0</v>
      </c>
      <c r="J358">
        <f>装備閲覧!O359</f>
        <v>3</v>
      </c>
      <c r="K358">
        <f>装備閲覧!P359</f>
        <v>0</v>
      </c>
      <c r="L358">
        <f>装備閲覧!R359</f>
        <v>3</v>
      </c>
      <c r="M358">
        <f>装備閲覧!S359</f>
        <v>0</v>
      </c>
      <c r="N358" t="str">
        <f>装備閲覧!T359</f>
        <v>中</v>
      </c>
      <c r="O358">
        <f>装備閲覧!AA359</f>
        <v>0</v>
      </c>
      <c r="P358" s="1" t="str">
        <f>IFERROR(IFERROR(VLOOKUP(C358,改修!A:B,2,0),_xlfn.NUMBERVALUE(VLOOKUP(C358,特殊改修値!C:D,2,0))),"×")</f>
        <v>×</v>
      </c>
      <c r="Q358" t="str">
        <f>IFERROR(VLOOKUP(C358,装備ボーナス!B:C,2,0),"×")</f>
        <v>〇</v>
      </c>
      <c r="R358" t="str">
        <f>VLOOKUP(A358,wikiName!A:B,2,0)</f>
        <v>Bofors 15cm連装速射砲 Mk.9改＋単装速射砲 Mk.10改 Model 1938</v>
      </c>
    </row>
    <row r="359" spans="1:18" x14ac:dyDescent="0.4">
      <c r="A359">
        <f>装備閲覧!B360</f>
        <v>362</v>
      </c>
      <c r="B359" t="str">
        <f>装備閲覧!C360</f>
        <v>中口径主砲</v>
      </c>
      <c r="C359" t="str">
        <f>装備閲覧!D360</f>
        <v>5inch連装両用砲(集中配備)</v>
      </c>
      <c r="D359">
        <f>装備閲覧!H360</f>
        <v>16</v>
      </c>
      <c r="E359">
        <f>装備閲覧!J360</f>
        <v>5</v>
      </c>
      <c r="F359">
        <f>装備閲覧!K360</f>
        <v>0</v>
      </c>
      <c r="G359">
        <f>装備閲覧!L360</f>
        <v>11</v>
      </c>
      <c r="H359">
        <f>装備閲覧!M360</f>
        <v>0</v>
      </c>
      <c r="I359">
        <f>装備閲覧!N360</f>
        <v>0</v>
      </c>
      <c r="J359">
        <f>装備閲覧!O360</f>
        <v>2</v>
      </c>
      <c r="K359">
        <f>装備閲覧!P360</f>
        <v>0</v>
      </c>
      <c r="L359">
        <f>装備閲覧!R360</f>
        <v>2</v>
      </c>
      <c r="M359">
        <f>装備閲覧!S360</f>
        <v>0</v>
      </c>
      <c r="N359" t="str">
        <f>装備閲覧!T360</f>
        <v>中</v>
      </c>
      <c r="O359">
        <f>装備閲覧!AA360</f>
        <v>0</v>
      </c>
      <c r="P359" s="1">
        <f>IFERROR(IFERROR(VLOOKUP(C359,改修!A:B,2,0),_xlfn.NUMBERVALUE(VLOOKUP(C359,特殊改修値!C:D,2,0))),"×")</f>
        <v>3</v>
      </c>
      <c r="Q359" t="str">
        <f>IFERROR(VLOOKUP(C359,装備ボーナス!B:C,2,0),"×")</f>
        <v>〇</v>
      </c>
      <c r="R359" t="str">
        <f>VLOOKUP(A359,wikiName!A:B,2,0)</f>
        <v>5inch連装両用砲(集中配備)</v>
      </c>
    </row>
    <row r="360" spans="1:18" x14ac:dyDescent="0.4">
      <c r="A360">
        <f>装備閲覧!B361</f>
        <v>363</v>
      </c>
      <c r="B360" t="str">
        <f>装備閲覧!C361</f>
        <v>中口径主砲</v>
      </c>
      <c r="C360" t="str">
        <f>装備閲覧!D361</f>
        <v>GFCS Mk.37+5inch連装両用砲(集中配備)</v>
      </c>
      <c r="D360">
        <f>装備閲覧!H361</f>
        <v>16</v>
      </c>
      <c r="E360">
        <f>装備閲覧!J361</f>
        <v>6</v>
      </c>
      <c r="F360">
        <f>装備閲覧!K361</f>
        <v>0</v>
      </c>
      <c r="G360">
        <f>装備閲覧!L361</f>
        <v>14</v>
      </c>
      <c r="H360">
        <f>装備閲覧!M361</f>
        <v>0</v>
      </c>
      <c r="I360">
        <f>装備閲覧!N361</f>
        <v>0</v>
      </c>
      <c r="J360">
        <f>装備閲覧!O361</f>
        <v>3</v>
      </c>
      <c r="K360">
        <f>装備閲覧!P361</f>
        <v>3</v>
      </c>
      <c r="L360">
        <f>装備閲覧!R361</f>
        <v>6</v>
      </c>
      <c r="M360">
        <f>装備閲覧!S361</f>
        <v>0</v>
      </c>
      <c r="N360" t="str">
        <f>装備閲覧!T361</f>
        <v>中</v>
      </c>
      <c r="O360">
        <f>装備閲覧!AA361</f>
        <v>0</v>
      </c>
      <c r="P360" s="1">
        <f>IFERROR(IFERROR(VLOOKUP(C360,改修!A:B,2,0),_xlfn.NUMBERVALUE(VLOOKUP(C360,特殊改修値!C:D,2,0))),"×")</f>
        <v>2</v>
      </c>
      <c r="Q360" t="str">
        <f>IFERROR(VLOOKUP(C360,装備ボーナス!B:C,2,0),"×")</f>
        <v>〇</v>
      </c>
      <c r="R360" t="str">
        <f>VLOOKUP(A360,wikiName!A:B,2,0)</f>
        <v>GFCS Mk.37＋5inch連装両用砲(集中配備)</v>
      </c>
    </row>
    <row r="361" spans="1:18" x14ac:dyDescent="0.4">
      <c r="A361">
        <f>装備閲覧!B362</f>
        <v>364</v>
      </c>
      <c r="B361" t="str">
        <f>装備閲覧!C362</f>
        <v>特殊潜航艇</v>
      </c>
      <c r="C361" t="str">
        <f>装備閲覧!D362</f>
        <v>甲標的 丁型改(蛟龍改)</v>
      </c>
      <c r="D361">
        <f>装備閲覧!H362</f>
        <v>5</v>
      </c>
      <c r="E361">
        <f>装備閲覧!J362</f>
        <v>0</v>
      </c>
      <c r="F361">
        <f>装備閲覧!K362</f>
        <v>17</v>
      </c>
      <c r="G361">
        <f>装備閲覧!L362</f>
        <v>0</v>
      </c>
      <c r="H361">
        <f>装備閲覧!M362</f>
        <v>0</v>
      </c>
      <c r="I361">
        <f>装備閲覧!N362</f>
        <v>0</v>
      </c>
      <c r="J361">
        <f>装備閲覧!O362</f>
        <v>0</v>
      </c>
      <c r="K361">
        <f>装備閲覧!P362</f>
        <v>2</v>
      </c>
      <c r="L361">
        <f>装備閲覧!R362</f>
        <v>2</v>
      </c>
      <c r="M361">
        <f>装備閲覧!S362</f>
        <v>0</v>
      </c>
      <c r="N361" t="str">
        <f>装備閲覧!T362</f>
        <v>無</v>
      </c>
      <c r="O361">
        <f>装備閲覧!AA362</f>
        <v>0</v>
      </c>
      <c r="P361" s="1" t="str">
        <f>IFERROR(IFERROR(VLOOKUP(C361,改修!A:B,2,0),_xlfn.NUMBERVALUE(VLOOKUP(C361,特殊改修値!C:D,2,0))),"×")</f>
        <v>×</v>
      </c>
      <c r="Q361" t="str">
        <f>IFERROR(VLOOKUP(C361,装備ボーナス!B:C,2,0),"×")</f>
        <v>〇</v>
      </c>
      <c r="R361" t="str">
        <f>VLOOKUP(A361,wikiName!A:B,2,0)</f>
        <v>甲標的 丁型改(蛟龍改)</v>
      </c>
    </row>
    <row r="362" spans="1:18" x14ac:dyDescent="0.4">
      <c r="A362">
        <f>装備閲覧!B363</f>
        <v>365</v>
      </c>
      <c r="B362" t="str">
        <f>装備閲覧!C363</f>
        <v>対艦強化弾</v>
      </c>
      <c r="C362" t="str">
        <f>装備閲覧!D363</f>
        <v>一式徹甲弾改</v>
      </c>
      <c r="D362">
        <f>装備閲覧!H363</f>
        <v>13</v>
      </c>
      <c r="E362">
        <f>装備閲覧!J363</f>
        <v>11</v>
      </c>
      <c r="F362">
        <f>装備閲覧!K363</f>
        <v>0</v>
      </c>
      <c r="G362">
        <f>装備閲覧!L363</f>
        <v>0</v>
      </c>
      <c r="H362">
        <f>装備閲覧!M363</f>
        <v>0</v>
      </c>
      <c r="I362">
        <f>装備閲覧!N363</f>
        <v>0</v>
      </c>
      <c r="J362">
        <f>装備閲覧!O363</f>
        <v>0</v>
      </c>
      <c r="K362">
        <f>装備閲覧!P363</f>
        <v>0</v>
      </c>
      <c r="L362">
        <f>装備閲覧!R363</f>
        <v>2</v>
      </c>
      <c r="M362">
        <f>装備閲覧!S363</f>
        <v>0</v>
      </c>
      <c r="N362" t="str">
        <f>装備閲覧!T363</f>
        <v>無</v>
      </c>
      <c r="O362">
        <f>装備閲覧!AA363</f>
        <v>0</v>
      </c>
      <c r="P362" s="1" t="str">
        <f>IFERROR(IFERROR(VLOOKUP(C362,改修!A:B,2,0),_xlfn.NUMBERVALUE(VLOOKUP(C362,特殊改修値!C:D,2,0))),"×")</f>
        <v>〇</v>
      </c>
      <c r="Q362" t="str">
        <f>IFERROR(VLOOKUP(C362,装備ボーナス!B:C,2,0),"×")</f>
        <v>〇</v>
      </c>
      <c r="R362" t="str">
        <f>VLOOKUP(A362,wikiName!A:B,2,0)</f>
        <v>一式徹甲弾改</v>
      </c>
    </row>
    <row r="363" spans="1:18" x14ac:dyDescent="0.4">
      <c r="A363">
        <f>装備閲覧!B364</f>
        <v>366</v>
      </c>
      <c r="B363" t="str">
        <f>装備閲覧!C364</f>
        <v>小口径主砲</v>
      </c>
      <c r="C363" t="str">
        <f>装備閲覧!D364</f>
        <v>12.7cm連装砲D型改三</v>
      </c>
      <c r="D363">
        <f>装備閲覧!H364</f>
        <v>1</v>
      </c>
      <c r="E363">
        <f>装備閲覧!J364</f>
        <v>3</v>
      </c>
      <c r="F363">
        <f>装備閲覧!K364</f>
        <v>0</v>
      </c>
      <c r="G363">
        <f>装備閲覧!L364</f>
        <v>4</v>
      </c>
      <c r="H363">
        <f>装備閲覧!M364</f>
        <v>1</v>
      </c>
      <c r="I363">
        <f>装備閲覧!N364</f>
        <v>2</v>
      </c>
      <c r="J363">
        <f>装備閲覧!O364</f>
        <v>2</v>
      </c>
      <c r="K363">
        <f>装備閲覧!P364</f>
        <v>0</v>
      </c>
      <c r="L363">
        <f>装備閲覧!R364</f>
        <v>2</v>
      </c>
      <c r="M363">
        <f>装備閲覧!S364</f>
        <v>0</v>
      </c>
      <c r="N363" t="str">
        <f>装備閲覧!T364</f>
        <v>短</v>
      </c>
      <c r="O363">
        <f>装備閲覧!AA364</f>
        <v>0</v>
      </c>
      <c r="P363" s="1">
        <f>IFERROR(IFERROR(VLOOKUP(C363,改修!A:B,2,0),_xlfn.NUMBERVALUE(VLOOKUP(C363,特殊改修値!C:D,2,0))),"×")</f>
        <v>4</v>
      </c>
      <c r="Q363" t="str">
        <f>IFERROR(VLOOKUP(C363,装備ボーナス!B:C,2,0),"×")</f>
        <v>〇</v>
      </c>
      <c r="R363" t="str">
        <f>VLOOKUP(A363,wikiName!A:B,2,0)</f>
        <v>12.7cm連装砲D型改三</v>
      </c>
    </row>
    <row r="364" spans="1:18" x14ac:dyDescent="0.4">
      <c r="A364">
        <f>装備閲覧!B365</f>
        <v>367</v>
      </c>
      <c r="B364" t="str">
        <f>装備閲覧!C365</f>
        <v>水上爆撃機</v>
      </c>
      <c r="C364" t="str">
        <f>装備閲覧!D365</f>
        <v>Swordfish(水上機型)</v>
      </c>
      <c r="D364">
        <f>装備閲覧!H365</f>
        <v>10</v>
      </c>
      <c r="E364">
        <f>装備閲覧!J365</f>
        <v>2</v>
      </c>
      <c r="F364">
        <f>装備閲覧!K365</f>
        <v>5</v>
      </c>
      <c r="G364">
        <f>装備閲覧!L365</f>
        <v>0</v>
      </c>
      <c r="H364">
        <f>装備閲覧!M365</f>
        <v>0</v>
      </c>
      <c r="I364">
        <f>装備閲覧!N365</f>
        <v>4</v>
      </c>
      <c r="J364">
        <f>装備閲覧!O365</f>
        <v>0</v>
      </c>
      <c r="K364">
        <f>装備閲覧!P365</f>
        <v>2</v>
      </c>
      <c r="L364">
        <f>装備閲覧!R365</f>
        <v>1</v>
      </c>
      <c r="M364">
        <f>装備閲覧!S365</f>
        <v>5</v>
      </c>
      <c r="N364" t="str">
        <f>装備閲覧!T365</f>
        <v>無</v>
      </c>
      <c r="O364">
        <f>装備閲覧!AA365</f>
        <v>3</v>
      </c>
      <c r="P364" s="1" t="str">
        <f>IFERROR(IFERROR(VLOOKUP(C364,改修!A:B,2,0),_xlfn.NUMBERVALUE(VLOOKUP(C364,特殊改修値!C:D,2,0))),"×")</f>
        <v>〇</v>
      </c>
      <c r="Q364" t="str">
        <f>IFERROR(VLOOKUP(C364,装備ボーナス!B:C,2,0),"×")</f>
        <v>〇</v>
      </c>
      <c r="R364" t="str">
        <f>VLOOKUP(A364,wikiName!A:B,2,0)</f>
        <v>Swordfish(水上機型)</v>
      </c>
    </row>
    <row r="365" spans="1:18" x14ac:dyDescent="0.4">
      <c r="A365">
        <f>装備閲覧!B366</f>
        <v>368</v>
      </c>
      <c r="B365" t="str">
        <f>装備閲覧!C366</f>
        <v>水上爆撃機</v>
      </c>
      <c r="C365" t="str">
        <f>装備閲覧!D366</f>
        <v>Swordfish Mk.III改(水上機型)</v>
      </c>
      <c r="D365">
        <f>装備閲覧!H366</f>
        <v>10</v>
      </c>
      <c r="E365">
        <f>装備閲覧!J366</f>
        <v>4</v>
      </c>
      <c r="F365">
        <f>装備閲覧!K366</f>
        <v>6</v>
      </c>
      <c r="G365">
        <f>装備閲覧!L366</f>
        <v>0</v>
      </c>
      <c r="H365">
        <f>装備閲覧!M366</f>
        <v>0</v>
      </c>
      <c r="I365">
        <f>装備閲覧!N366</f>
        <v>7</v>
      </c>
      <c r="J365">
        <f>装備閲覧!O366</f>
        <v>0</v>
      </c>
      <c r="K365">
        <f>装備閲覧!P366</f>
        <v>3</v>
      </c>
      <c r="L365">
        <f>装備閲覧!R366</f>
        <v>2</v>
      </c>
      <c r="M365">
        <f>装備閲覧!S366</f>
        <v>7</v>
      </c>
      <c r="N365" t="str">
        <f>装備閲覧!T366</f>
        <v>無</v>
      </c>
      <c r="O365">
        <f>装備閲覧!AA366</f>
        <v>3</v>
      </c>
      <c r="P365" s="1" t="str">
        <f>IFERROR(IFERROR(VLOOKUP(C365,改修!A:B,2,0),_xlfn.NUMBERVALUE(VLOOKUP(C365,特殊改修値!C:D,2,0))),"×")</f>
        <v>〇</v>
      </c>
      <c r="Q365" t="str">
        <f>IFERROR(VLOOKUP(C365,装備ボーナス!B:C,2,0),"×")</f>
        <v>〇</v>
      </c>
      <c r="R365" t="str">
        <f>VLOOKUP(A365,wikiName!A:B,2,0)</f>
        <v>Swordfish Mk.III改(水上機型)</v>
      </c>
    </row>
    <row r="366" spans="1:18" x14ac:dyDescent="0.4">
      <c r="A366">
        <f>装備閲覧!B367</f>
        <v>369</v>
      </c>
      <c r="B366" t="str">
        <f>装備閲覧!C367</f>
        <v>水上爆撃機</v>
      </c>
      <c r="C366" t="str">
        <f>装備閲覧!D367</f>
        <v>Swordfish Mk.III改(水上機型/熟練)</v>
      </c>
      <c r="D366">
        <f>装備閲覧!H367</f>
        <v>10</v>
      </c>
      <c r="E366">
        <f>装備閲覧!J367</f>
        <v>4</v>
      </c>
      <c r="F366">
        <f>装備閲覧!K367</f>
        <v>7</v>
      </c>
      <c r="G366">
        <f>装備閲覧!L367</f>
        <v>0</v>
      </c>
      <c r="H366">
        <f>装備閲覧!M367</f>
        <v>0</v>
      </c>
      <c r="I366">
        <f>装備閲覧!N367</f>
        <v>8</v>
      </c>
      <c r="J366">
        <f>装備閲覧!O367</f>
        <v>0</v>
      </c>
      <c r="K366">
        <f>装備閲覧!P367</f>
        <v>4</v>
      </c>
      <c r="L366">
        <f>装備閲覧!R367</f>
        <v>3</v>
      </c>
      <c r="M366">
        <f>装備閲覧!S367</f>
        <v>8</v>
      </c>
      <c r="N366" t="str">
        <f>装備閲覧!T367</f>
        <v>無</v>
      </c>
      <c r="O366">
        <f>装備閲覧!AA367</f>
        <v>3</v>
      </c>
      <c r="P366" s="1" t="str">
        <f>IFERROR(IFERROR(VLOOKUP(C366,改修!A:B,2,0),_xlfn.NUMBERVALUE(VLOOKUP(C366,特殊改修値!C:D,2,0))),"×")</f>
        <v>×</v>
      </c>
      <c r="Q366" t="str">
        <f>IFERROR(VLOOKUP(C366,装備ボーナス!B:C,2,0),"×")</f>
        <v>〇</v>
      </c>
      <c r="R366" t="str">
        <f>VLOOKUP(A366,wikiName!A:B,2,0)</f>
        <v>Swordfish Mk.III改(水上機型／熟練)</v>
      </c>
    </row>
    <row r="367" spans="1:18" x14ac:dyDescent="0.4">
      <c r="A367">
        <f>装備閲覧!B368</f>
        <v>370</v>
      </c>
      <c r="B367" t="str">
        <f>装備閲覧!C368</f>
        <v>水上偵察機</v>
      </c>
      <c r="C367" t="str">
        <f>装備閲覧!D368</f>
        <v>Swordfish Mk.II改(水偵型)</v>
      </c>
      <c r="D367">
        <f>装備閲覧!H368</f>
        <v>10</v>
      </c>
      <c r="E367">
        <f>装備閲覧!J368</f>
        <v>1</v>
      </c>
      <c r="F367">
        <f>装備閲覧!K368</f>
        <v>0</v>
      </c>
      <c r="G367">
        <f>装備閲覧!L368</f>
        <v>0</v>
      </c>
      <c r="H367">
        <f>装備閲覧!M368</f>
        <v>0</v>
      </c>
      <c r="I367">
        <f>装備閲覧!N368</f>
        <v>6</v>
      </c>
      <c r="J367">
        <f>装備閲覧!O368</f>
        <v>0</v>
      </c>
      <c r="K367">
        <f>装備閲覧!P368</f>
        <v>5</v>
      </c>
      <c r="L367">
        <f>装備閲覧!R368</f>
        <v>2</v>
      </c>
      <c r="M367">
        <f>装備閲覧!S368</f>
        <v>0</v>
      </c>
      <c r="N367" t="str">
        <f>装備閲覧!T368</f>
        <v>無</v>
      </c>
      <c r="O367">
        <f>装備閲覧!AA368</f>
        <v>3</v>
      </c>
      <c r="P367" s="1" t="str">
        <f>IFERROR(IFERROR(VLOOKUP(C367,改修!A:B,2,0),_xlfn.NUMBERVALUE(VLOOKUP(C367,特殊改修値!C:D,2,0))),"×")</f>
        <v>〇</v>
      </c>
      <c r="Q367" t="str">
        <f>IFERROR(VLOOKUP(C367,装備ボーナス!B:C,2,0),"×")</f>
        <v>〇</v>
      </c>
      <c r="R367" t="str">
        <f>VLOOKUP(A367,wikiName!A:B,2,0)</f>
        <v>Swordfish Mk.II改(水偵型)</v>
      </c>
    </row>
    <row r="368" spans="1:18" x14ac:dyDescent="0.4">
      <c r="A368">
        <f>装備閲覧!B369</f>
        <v>371</v>
      </c>
      <c r="B368" t="str">
        <f>装備閲覧!C369</f>
        <v>水上偵察機</v>
      </c>
      <c r="C368" t="str">
        <f>装備閲覧!D369</f>
        <v>Fairey Seafox改</v>
      </c>
      <c r="D368">
        <f>装備閲覧!H369</f>
        <v>10</v>
      </c>
      <c r="E368">
        <f>装備閲覧!J369</f>
        <v>2</v>
      </c>
      <c r="F368">
        <f>装備閲覧!K369</f>
        <v>0</v>
      </c>
      <c r="G368">
        <f>装備閲覧!L369</f>
        <v>1</v>
      </c>
      <c r="H368">
        <f>装備閲覧!M369</f>
        <v>0</v>
      </c>
      <c r="I368">
        <f>装備閲覧!N369</f>
        <v>3</v>
      </c>
      <c r="J368">
        <f>装備閲覧!O369</f>
        <v>1</v>
      </c>
      <c r="K368">
        <f>装備閲覧!P369</f>
        <v>6</v>
      </c>
      <c r="L368">
        <f>装備閲覧!R369</f>
        <v>2</v>
      </c>
      <c r="M368">
        <f>装備閲覧!S369</f>
        <v>0</v>
      </c>
      <c r="N368" t="str">
        <f>装備閲覧!T369</f>
        <v>無</v>
      </c>
      <c r="O368">
        <f>装備閲覧!AA369</f>
        <v>3</v>
      </c>
      <c r="P368" s="1" t="str">
        <f>IFERROR(IFERROR(VLOOKUP(C368,改修!A:B,2,0),_xlfn.NUMBERVALUE(VLOOKUP(C368,特殊改修値!C:D,2,0))),"×")</f>
        <v>×</v>
      </c>
      <c r="Q368" t="str">
        <f>IFERROR(VLOOKUP(C368,装備ボーナス!B:C,2,0),"×")</f>
        <v>〇</v>
      </c>
      <c r="R368" t="str">
        <f>VLOOKUP(A368,wikiName!A:B,2,0)</f>
        <v>Fairey Seafox改</v>
      </c>
    </row>
    <row r="369" spans="1:18" x14ac:dyDescent="0.4">
      <c r="A369">
        <f>装備閲覧!B370</f>
        <v>372</v>
      </c>
      <c r="B369" t="str">
        <f>装備閲覧!C370</f>
        <v>艦上攻撃機</v>
      </c>
      <c r="C369" t="str">
        <f>装備閲覧!D370</f>
        <v>天山一二型甲</v>
      </c>
      <c r="D369">
        <f>装備閲覧!H370</f>
        <v>8</v>
      </c>
      <c r="E369">
        <f>装備閲覧!J370</f>
        <v>0</v>
      </c>
      <c r="F369">
        <f>装備閲覧!K370</f>
        <v>9</v>
      </c>
      <c r="G369">
        <f>装備閲覧!L370</f>
        <v>1</v>
      </c>
      <c r="H369">
        <f>装備閲覧!M370</f>
        <v>0</v>
      </c>
      <c r="I369">
        <f>装備閲覧!N370</f>
        <v>4</v>
      </c>
      <c r="J369">
        <f>装備閲覧!O370</f>
        <v>0</v>
      </c>
      <c r="K369">
        <f>装備閲覧!P370</f>
        <v>2</v>
      </c>
      <c r="L369">
        <f>装備閲覧!R370</f>
        <v>0</v>
      </c>
      <c r="M369">
        <f>装備閲覧!S370</f>
        <v>0</v>
      </c>
      <c r="N369" t="str">
        <f>装備閲覧!T370</f>
        <v>無</v>
      </c>
      <c r="O369">
        <f>装備閲覧!AA370</f>
        <v>5</v>
      </c>
      <c r="P369" s="1" t="str">
        <f>IFERROR(IFERROR(VLOOKUP(C369,改修!A:B,2,0),_xlfn.NUMBERVALUE(VLOOKUP(C369,特殊改修値!C:D,2,0))),"×")</f>
        <v>×</v>
      </c>
      <c r="Q369" t="str">
        <f>IFERROR(VLOOKUP(C369,装備ボーナス!B:C,2,0),"×")</f>
        <v>〇</v>
      </c>
      <c r="R369" t="str">
        <f>VLOOKUP(A369,wikiName!A:B,2,0)</f>
        <v>天山一二型甲</v>
      </c>
    </row>
    <row r="370" spans="1:18" x14ac:dyDescent="0.4">
      <c r="A370">
        <f>装備閲覧!B371</f>
        <v>373</v>
      </c>
      <c r="B370" t="str">
        <f>装備閲覧!C371</f>
        <v>艦上攻撃機</v>
      </c>
      <c r="C370" t="str">
        <f>装備閲覧!D371</f>
        <v>天山一二型甲改(空六号電探改装備機)</v>
      </c>
      <c r="D370">
        <f>装備閲覧!H371</f>
        <v>46</v>
      </c>
      <c r="E370">
        <f>装備閲覧!J371</f>
        <v>0</v>
      </c>
      <c r="F370">
        <f>装備閲覧!K371</f>
        <v>11</v>
      </c>
      <c r="G370">
        <f>装備閲覧!L371</f>
        <v>1</v>
      </c>
      <c r="H370">
        <f>装備閲覧!M371</f>
        <v>0</v>
      </c>
      <c r="I370">
        <f>装備閲覧!N371</f>
        <v>6</v>
      </c>
      <c r="J370">
        <f>装備閲覧!O371</f>
        <v>0</v>
      </c>
      <c r="K370">
        <f>装備閲覧!P371</f>
        <v>5</v>
      </c>
      <c r="L370">
        <f>装備閲覧!R371</f>
        <v>1</v>
      </c>
      <c r="M370">
        <f>装備閲覧!S371</f>
        <v>0</v>
      </c>
      <c r="N370" t="str">
        <f>装備閲覧!T371</f>
        <v>無</v>
      </c>
      <c r="O370">
        <f>装備閲覧!AA371</f>
        <v>5</v>
      </c>
      <c r="P370" s="1" t="str">
        <f>IFERROR(IFERROR(VLOOKUP(C370,改修!A:B,2,0),_xlfn.NUMBERVALUE(VLOOKUP(C370,特殊改修値!C:D,2,0))),"×")</f>
        <v>×</v>
      </c>
      <c r="Q370" t="str">
        <f>IFERROR(VLOOKUP(C370,装備ボーナス!B:C,2,0),"×")</f>
        <v>〇</v>
      </c>
      <c r="R370" t="str">
        <f>VLOOKUP(A370,wikiName!A:B,2,0)</f>
        <v>天山一二型甲改(空六号電探改装備機)</v>
      </c>
    </row>
    <row r="371" spans="1:18" x14ac:dyDescent="0.4">
      <c r="A371">
        <f>装備閲覧!B372</f>
        <v>374</v>
      </c>
      <c r="B371" t="str">
        <f>装備閲覧!C372</f>
        <v>艦上攻撃機</v>
      </c>
      <c r="C371" t="str">
        <f>装備閲覧!D372</f>
        <v>天山一二型甲改(熟練/空六号電探改装備機)</v>
      </c>
      <c r="D371">
        <f>装備閲覧!H372</f>
        <v>46</v>
      </c>
      <c r="E371">
        <f>装備閲覧!J372</f>
        <v>0</v>
      </c>
      <c r="F371">
        <f>装備閲覧!K372</f>
        <v>13</v>
      </c>
      <c r="G371">
        <f>装備閲覧!L372</f>
        <v>1</v>
      </c>
      <c r="H371">
        <f>装備閲覧!M372</f>
        <v>0</v>
      </c>
      <c r="I371">
        <f>装備閲覧!N372</f>
        <v>7</v>
      </c>
      <c r="J371">
        <f>装備閲覧!O372</f>
        <v>0</v>
      </c>
      <c r="K371">
        <f>装備閲覧!P372</f>
        <v>6</v>
      </c>
      <c r="L371">
        <f>装備閲覧!R372</f>
        <v>2</v>
      </c>
      <c r="M371">
        <f>装備閲覧!S372</f>
        <v>0</v>
      </c>
      <c r="N371" t="str">
        <f>装備閲覧!T372</f>
        <v>無</v>
      </c>
      <c r="O371">
        <f>装備閲覧!AA372</f>
        <v>6</v>
      </c>
      <c r="P371" s="1" t="str">
        <f>IFERROR(IFERROR(VLOOKUP(C371,改修!A:B,2,0),_xlfn.NUMBERVALUE(VLOOKUP(C371,特殊改修値!C:D,2,0))),"×")</f>
        <v>×</v>
      </c>
      <c r="Q371" t="str">
        <f>IFERROR(VLOOKUP(C371,装備ボーナス!B:C,2,0),"×")</f>
        <v>〇</v>
      </c>
      <c r="R371" t="str">
        <f>VLOOKUP(A371,wikiName!A:B,2,0)</f>
        <v>天山一二型甲改(熟練／空六号電探改装備機)</v>
      </c>
    </row>
    <row r="372" spans="1:18" x14ac:dyDescent="0.4">
      <c r="A372">
        <f>装備閲覧!B373</f>
        <v>375</v>
      </c>
      <c r="B372" t="str">
        <f>装備閲覧!C373</f>
        <v>艦上戦闘機</v>
      </c>
      <c r="C372" t="str">
        <f>装備閲覧!D373</f>
        <v>XF5U</v>
      </c>
      <c r="D372">
        <f>装備閲覧!H373</f>
        <v>6</v>
      </c>
      <c r="E372">
        <f>装備閲覧!J373</f>
        <v>0</v>
      </c>
      <c r="F372">
        <f>装備閲覧!K373</f>
        <v>0</v>
      </c>
      <c r="G372">
        <f>装備閲覧!L373</f>
        <v>12</v>
      </c>
      <c r="H372">
        <f>装備閲覧!M373</f>
        <v>0</v>
      </c>
      <c r="I372">
        <f>装備閲覧!N373</f>
        <v>0</v>
      </c>
      <c r="J372">
        <f>装備閲覧!O373</f>
        <v>2</v>
      </c>
      <c r="K372">
        <f>装備閲覧!P373</f>
        <v>1</v>
      </c>
      <c r="L372">
        <f>装備閲覧!R373</f>
        <v>0</v>
      </c>
      <c r="M372">
        <f>装備閲覧!S373</f>
        <v>0</v>
      </c>
      <c r="N372" t="str">
        <f>装備閲覧!T373</f>
        <v>無</v>
      </c>
      <c r="O372">
        <f>装備閲覧!AA373</f>
        <v>4</v>
      </c>
      <c r="P372" s="1" t="str">
        <f>IFERROR(IFERROR(VLOOKUP(C372,改修!A:B,2,0),_xlfn.NUMBERVALUE(VLOOKUP(C372,特殊改修値!C:D,2,0))),"×")</f>
        <v>×</v>
      </c>
      <c r="Q372" t="str">
        <f>IFERROR(VLOOKUP(C372,装備ボーナス!B:C,2,0),"×")</f>
        <v>〇</v>
      </c>
      <c r="R372" t="str">
        <f>VLOOKUP(A372,wikiName!A:B,2,0)</f>
        <v>XF5U</v>
      </c>
    </row>
    <row r="373" spans="1:18" x14ac:dyDescent="0.4">
      <c r="A373">
        <f>装備閲覧!B374</f>
        <v>376</v>
      </c>
      <c r="B373" t="str">
        <f>装備閲覧!C374</f>
        <v>魚雷</v>
      </c>
      <c r="C373" t="str">
        <f>装備閲覧!D374</f>
        <v>533mm五連装魚雷(後期型)</v>
      </c>
      <c r="D373">
        <f>装備閲覧!H374</f>
        <v>5</v>
      </c>
      <c r="E373">
        <f>装備閲覧!J374</f>
        <v>1</v>
      </c>
      <c r="F373">
        <f>装備閲覧!K374</f>
        <v>11</v>
      </c>
      <c r="G373">
        <f>装備閲覧!L374</f>
        <v>0</v>
      </c>
      <c r="H373">
        <f>装備閲覧!M374</f>
        <v>1</v>
      </c>
      <c r="I373">
        <f>装備閲覧!N374</f>
        <v>0</v>
      </c>
      <c r="J373">
        <f>装備閲覧!O374</f>
        <v>1</v>
      </c>
      <c r="K373">
        <f>装備閲覧!P374</f>
        <v>0</v>
      </c>
      <c r="L373">
        <f>装備閲覧!R374</f>
        <v>0</v>
      </c>
      <c r="M373">
        <f>装備閲覧!S374</f>
        <v>0</v>
      </c>
      <c r="N373" t="str">
        <f>装備閲覧!T374</f>
        <v>短</v>
      </c>
      <c r="O373">
        <f>装備閲覧!AA374</f>
        <v>0</v>
      </c>
      <c r="P373" s="1" t="str">
        <f>IFERROR(IFERROR(VLOOKUP(C373,改修!A:B,2,0),_xlfn.NUMBERVALUE(VLOOKUP(C373,特殊改修値!C:D,2,0))),"×")</f>
        <v>×</v>
      </c>
      <c r="Q373" t="str">
        <f>IFERROR(VLOOKUP(C373,装備ボーナス!B:C,2,0),"×")</f>
        <v>〇</v>
      </c>
      <c r="R373" t="str">
        <f>VLOOKUP(A373,wikiName!A:B,2,0)</f>
        <v>533mm五連装魚雷(後期型)</v>
      </c>
    </row>
    <row r="374" spans="1:18" x14ac:dyDescent="0.4">
      <c r="A374">
        <f>装備閲覧!B375</f>
        <v>377</v>
      </c>
      <c r="B374" t="str">
        <f>装備閲覧!C375</f>
        <v>爆雷</v>
      </c>
      <c r="C374" t="str">
        <f>装備閲覧!D375</f>
        <v>RUR-4A Weapon Alpha改</v>
      </c>
      <c r="D374">
        <f>装備閲覧!H375</f>
        <v>17</v>
      </c>
      <c r="E374">
        <f>装備閲覧!J375</f>
        <v>0</v>
      </c>
      <c r="F374">
        <f>装備閲覧!K375</f>
        <v>0</v>
      </c>
      <c r="G374">
        <f>装備閲覧!L375</f>
        <v>0</v>
      </c>
      <c r="H374">
        <f>装備閲覧!M375</f>
        <v>1</v>
      </c>
      <c r="I374">
        <f>装備閲覧!N375</f>
        <v>17</v>
      </c>
      <c r="J374">
        <f>装備閲覧!O375</f>
        <v>1</v>
      </c>
      <c r="K374">
        <f>装備閲覧!P375</f>
        <v>0</v>
      </c>
      <c r="L374">
        <f>装備閲覧!R375</f>
        <v>1</v>
      </c>
      <c r="M374">
        <f>装備閲覧!S375</f>
        <v>0</v>
      </c>
      <c r="N374" t="str">
        <f>装備閲覧!T375</f>
        <v>無</v>
      </c>
      <c r="O374">
        <f>装備閲覧!AA375</f>
        <v>0</v>
      </c>
      <c r="P374" s="1" t="str">
        <f>IFERROR(IFERROR(VLOOKUP(C374,改修!A:B,2,0),_xlfn.NUMBERVALUE(VLOOKUP(C374,特殊改修値!C:D,2,0))),"×")</f>
        <v>×</v>
      </c>
      <c r="Q374" t="str">
        <f>IFERROR(VLOOKUP(C374,装備ボーナス!B:C,2,0),"×")</f>
        <v>〇</v>
      </c>
      <c r="R374" t="str">
        <f>VLOOKUP(A374,wikiName!A:B,2,0)</f>
        <v>RUR-4A Weapon Alpha改</v>
      </c>
    </row>
    <row r="375" spans="1:18" x14ac:dyDescent="0.4">
      <c r="A375">
        <f>装備閲覧!B376</f>
        <v>378</v>
      </c>
      <c r="B375" t="str">
        <f>装備閲覧!C376</f>
        <v>爆雷</v>
      </c>
      <c r="C375" t="str">
        <f>装備閲覧!D376</f>
        <v>対潜短魚雷(試作初期型)</v>
      </c>
      <c r="D375">
        <f>装備閲覧!H376</f>
        <v>17</v>
      </c>
      <c r="E375">
        <f>装備閲覧!J376</f>
        <v>0</v>
      </c>
      <c r="F375">
        <f>装備閲覧!K376</f>
        <v>2</v>
      </c>
      <c r="G375">
        <f>装備閲覧!L376</f>
        <v>0</v>
      </c>
      <c r="H375">
        <f>装備閲覧!M376</f>
        <v>0</v>
      </c>
      <c r="I375">
        <f>装備閲覧!N376</f>
        <v>20</v>
      </c>
      <c r="J375">
        <f>装備閲覧!O376</f>
        <v>0</v>
      </c>
      <c r="K375">
        <f>装備閲覧!P376</f>
        <v>0</v>
      </c>
      <c r="L375">
        <f>装備閲覧!R376</f>
        <v>0</v>
      </c>
      <c r="M375">
        <f>装備閲覧!S376</f>
        <v>0</v>
      </c>
      <c r="N375" t="str">
        <f>装備閲覧!T376</f>
        <v>無</v>
      </c>
      <c r="O375">
        <f>装備閲覧!AA376</f>
        <v>0</v>
      </c>
      <c r="P375" s="1" t="str">
        <f>IFERROR(IFERROR(VLOOKUP(C375,改修!A:B,2,0),_xlfn.NUMBERVALUE(VLOOKUP(C375,特殊改修値!C:D,2,0))),"×")</f>
        <v>×</v>
      </c>
      <c r="Q375" t="str">
        <f>IFERROR(VLOOKUP(C375,装備ボーナス!B:C,2,0),"×")</f>
        <v>〇</v>
      </c>
      <c r="R375" t="str">
        <f>VLOOKUP(A375,wikiName!A:B,2,0)</f>
        <v>対潜短魚雷(試作初期型)</v>
      </c>
    </row>
    <row r="376" spans="1:18" x14ac:dyDescent="0.4">
      <c r="A376">
        <f>装備閲覧!B377</f>
        <v>379</v>
      </c>
      <c r="B376" t="str">
        <f>装備閲覧!C377</f>
        <v>小口径主砲</v>
      </c>
      <c r="C376" t="str">
        <f>装備閲覧!D377</f>
        <v>12.7cm単装高角砲改二</v>
      </c>
      <c r="D376">
        <f>装備閲覧!H377</f>
        <v>16</v>
      </c>
      <c r="E376">
        <f>装備閲覧!J377</f>
        <v>1</v>
      </c>
      <c r="F376">
        <f>装備閲覧!K377</f>
        <v>0</v>
      </c>
      <c r="G376">
        <f>装備閲覧!L377</f>
        <v>5</v>
      </c>
      <c r="H376">
        <f>装備閲覧!M377</f>
        <v>0</v>
      </c>
      <c r="I376">
        <f>装備閲覧!N377</f>
        <v>2</v>
      </c>
      <c r="J376">
        <f>装備閲覧!O377</f>
        <v>3</v>
      </c>
      <c r="K376">
        <f>装備閲覧!P377</f>
        <v>0</v>
      </c>
      <c r="L376">
        <f>装備閲覧!R377</f>
        <v>1</v>
      </c>
      <c r="M376">
        <f>装備閲覧!S377</f>
        <v>0</v>
      </c>
      <c r="N376" t="str">
        <f>装備閲覧!T377</f>
        <v>短</v>
      </c>
      <c r="O376">
        <f>装備閲覧!AA377</f>
        <v>0</v>
      </c>
      <c r="P376" s="1">
        <f>IFERROR(IFERROR(VLOOKUP(C376,改修!A:B,2,0),_xlfn.NUMBERVALUE(VLOOKUP(C376,特殊改修値!C:D,2,0))),"×")</f>
        <v>4</v>
      </c>
      <c r="Q376" t="str">
        <f>IFERROR(VLOOKUP(C376,装備ボーナス!B:C,2,0),"×")</f>
        <v>〇</v>
      </c>
      <c r="R376" t="str">
        <f>VLOOKUP(A376,wikiName!A:B,2,0)</f>
        <v>12.7cm単装高角砲改二</v>
      </c>
    </row>
    <row r="377" spans="1:18" x14ac:dyDescent="0.4">
      <c r="A377">
        <f>装備閲覧!B378</f>
        <v>380</v>
      </c>
      <c r="B377" t="str">
        <f>装備閲覧!C378</f>
        <v>小口径主砲</v>
      </c>
      <c r="C377" t="str">
        <f>装備閲覧!D378</f>
        <v>12.7cm連装高角砲改二</v>
      </c>
      <c r="D377">
        <f>装備閲覧!H378</f>
        <v>16</v>
      </c>
      <c r="E377">
        <f>装備閲覧!J378</f>
        <v>2</v>
      </c>
      <c r="F377">
        <f>装備閲覧!K378</f>
        <v>0</v>
      </c>
      <c r="G377">
        <f>装備閲覧!L378</f>
        <v>6</v>
      </c>
      <c r="H377">
        <f>装備閲覧!M378</f>
        <v>0</v>
      </c>
      <c r="I377">
        <f>装備閲覧!N378</f>
        <v>2</v>
      </c>
      <c r="J377">
        <f>装備閲覧!O378</f>
        <v>2</v>
      </c>
      <c r="K377">
        <f>装備閲覧!P378</f>
        <v>0</v>
      </c>
      <c r="L377">
        <f>装備閲覧!R378</f>
        <v>1</v>
      </c>
      <c r="M377">
        <f>装備閲覧!S378</f>
        <v>0</v>
      </c>
      <c r="N377" t="str">
        <f>装備閲覧!T378</f>
        <v>短</v>
      </c>
      <c r="O377">
        <f>装備閲覧!AA378</f>
        <v>0</v>
      </c>
      <c r="P377" s="1" t="str">
        <f>IFERROR(IFERROR(VLOOKUP(C377,改修!A:B,2,0),_xlfn.NUMBERVALUE(VLOOKUP(C377,特殊改修値!C:D,2,0))),"×")</f>
        <v>×</v>
      </c>
      <c r="Q377" t="str">
        <f>IFERROR(VLOOKUP(C377,装備ボーナス!B:C,2,0),"×")</f>
        <v>〇</v>
      </c>
      <c r="R377" t="str">
        <f>VLOOKUP(A377,wikiName!A:B,2,0)</f>
        <v>12.7cm連装高角砲改二</v>
      </c>
    </row>
    <row r="378" spans="1:18" x14ac:dyDescent="0.4">
      <c r="A378">
        <f>装備閲覧!B379</f>
        <v>381</v>
      </c>
      <c r="B378" t="str">
        <f>装備閲覧!C379</f>
        <v>大口径主砲</v>
      </c>
      <c r="C378" t="str">
        <f>装備閲覧!D379</f>
        <v>16inch三連装砲 Mk.6</v>
      </c>
      <c r="D378">
        <f>装備閲覧!H379</f>
        <v>3</v>
      </c>
      <c r="E378">
        <f>装備閲覧!J379</f>
        <v>22</v>
      </c>
      <c r="F378">
        <f>装備閲覧!K379</f>
        <v>0</v>
      </c>
      <c r="G378">
        <f>装備閲覧!L379</f>
        <v>2</v>
      </c>
      <c r="H378">
        <f>装備閲覧!M379</f>
        <v>1</v>
      </c>
      <c r="I378">
        <f>装備閲覧!N379</f>
        <v>0</v>
      </c>
      <c r="J378">
        <f>装備閲覧!O379</f>
        <v>0</v>
      </c>
      <c r="K378">
        <f>装備閲覧!P379</f>
        <v>0</v>
      </c>
      <c r="L378">
        <f>装備閲覧!R379</f>
        <v>2</v>
      </c>
      <c r="M378">
        <f>装備閲覧!S379</f>
        <v>0</v>
      </c>
      <c r="N378" t="str">
        <f>装備閲覧!T379</f>
        <v>長</v>
      </c>
      <c r="O378">
        <f>装備閲覧!AA379</f>
        <v>0</v>
      </c>
      <c r="P378" s="1">
        <f>IFERROR(IFERROR(VLOOKUP(C378,改修!A:B,2,0),_xlfn.NUMBERVALUE(VLOOKUP(C378,特殊改修値!C:D,2,0))),"×")</f>
        <v>6</v>
      </c>
      <c r="Q378" t="str">
        <f>IFERROR(VLOOKUP(C378,装備ボーナス!B:C,2,0),"×")</f>
        <v>〇</v>
      </c>
      <c r="R378" t="str">
        <f>VLOOKUP(A378,wikiName!A:B,2,0)</f>
        <v>16inch三連装砲 Mk.6</v>
      </c>
    </row>
    <row r="379" spans="1:18" x14ac:dyDescent="0.4">
      <c r="A379">
        <f>装備閲覧!B380</f>
        <v>382</v>
      </c>
      <c r="B379" t="str">
        <f>装備閲覧!C380</f>
        <v>小口径主砲</v>
      </c>
      <c r="C379" t="str">
        <f>装備閲覧!D380</f>
        <v>12cm単装高角砲E型</v>
      </c>
      <c r="D379">
        <f>装備閲覧!H380</f>
        <v>16</v>
      </c>
      <c r="E379">
        <f>装備閲覧!J380</f>
        <v>1</v>
      </c>
      <c r="F379">
        <f>装備閲覧!K380</f>
        <v>0</v>
      </c>
      <c r="G379">
        <f>装備閲覧!L380</f>
        <v>3</v>
      </c>
      <c r="H379">
        <f>装備閲覧!M380</f>
        <v>0</v>
      </c>
      <c r="I379">
        <f>装備閲覧!N380</f>
        <v>1</v>
      </c>
      <c r="J379">
        <f>装備閲覧!O380</f>
        <v>2</v>
      </c>
      <c r="K379">
        <f>装備閲覧!P380</f>
        <v>0</v>
      </c>
      <c r="L379">
        <f>装備閲覧!R380</f>
        <v>0</v>
      </c>
      <c r="M379">
        <f>装備閲覧!S380</f>
        <v>0</v>
      </c>
      <c r="N379" t="str">
        <f>装備閲覧!T380</f>
        <v>短</v>
      </c>
      <c r="O379">
        <f>装備閲覧!AA380</f>
        <v>0</v>
      </c>
      <c r="P379" s="1" t="str">
        <f>IFERROR(IFERROR(VLOOKUP(C379,改修!A:B,2,0),_xlfn.NUMBERVALUE(VLOOKUP(C379,特殊改修値!C:D,2,0))),"×")</f>
        <v>〇</v>
      </c>
      <c r="Q379" t="str">
        <f>IFERROR(VLOOKUP(C379,装備ボーナス!B:C,2,0),"×")</f>
        <v>〇</v>
      </c>
      <c r="R379" t="str">
        <f>VLOOKUP(A379,wikiName!A:B,2,0)</f>
        <v>12cm単装高角砲E型</v>
      </c>
    </row>
    <row r="380" spans="1:18" x14ac:dyDescent="0.4">
      <c r="A380">
        <f>装備閲覧!B381</f>
        <v>383</v>
      </c>
      <c r="B380" t="str">
        <f>装備閲覧!C381</f>
        <v>潜水艦魚雷</v>
      </c>
      <c r="C380" t="str">
        <f>装備閲覧!D381</f>
        <v>後期型53cm艦首魚雷(8門)</v>
      </c>
      <c r="D380">
        <f>装備閲覧!H381</f>
        <v>5</v>
      </c>
      <c r="E380">
        <f>装備閲覧!J381</f>
        <v>0</v>
      </c>
      <c r="F380">
        <f>装備閲覧!K381</f>
        <v>19</v>
      </c>
      <c r="G380">
        <f>装備閲覧!L381</f>
        <v>0</v>
      </c>
      <c r="H380">
        <f>装備閲覧!M381</f>
        <v>0</v>
      </c>
      <c r="I380">
        <f>装備閲覧!N381</f>
        <v>0</v>
      </c>
      <c r="J380">
        <f>装備閲覧!O381</f>
        <v>1</v>
      </c>
      <c r="K380">
        <f>装備閲覧!P381</f>
        <v>0</v>
      </c>
      <c r="L380">
        <f>装備閲覧!R381</f>
        <v>3</v>
      </c>
      <c r="M380">
        <f>装備閲覧!S381</f>
        <v>0</v>
      </c>
      <c r="N380" t="str">
        <f>装備閲覧!T381</f>
        <v>短</v>
      </c>
      <c r="O380">
        <f>装備閲覧!AA381</f>
        <v>0</v>
      </c>
      <c r="P380" s="1" t="str">
        <f>IFERROR(IFERROR(VLOOKUP(C380,改修!A:B,2,0),_xlfn.NUMBERVALUE(VLOOKUP(C380,特殊改修値!C:D,2,0))),"×")</f>
        <v>×</v>
      </c>
      <c r="Q380" t="str">
        <f>IFERROR(VLOOKUP(C380,装備ボーナス!B:C,2,0),"×")</f>
        <v>〇</v>
      </c>
      <c r="R380" t="str">
        <f>VLOOKUP(A380,wikiName!A:B,2,0)</f>
        <v>後期型53cm艦首魚雷(8門)</v>
      </c>
    </row>
    <row r="381" spans="1:18" x14ac:dyDescent="0.4">
      <c r="A381">
        <f>装備閲覧!B382</f>
        <v>384</v>
      </c>
      <c r="B381" t="str">
        <f>装備閲覧!C382</f>
        <v>潜水艦装備</v>
      </c>
      <c r="C381" t="str">
        <f>装備閲覧!D382</f>
        <v>後期型潜水艦搭載電探&amp;逆探</v>
      </c>
      <c r="D381">
        <f>装備閲覧!H382</f>
        <v>42</v>
      </c>
      <c r="E381">
        <f>装備閲覧!J382</f>
        <v>2</v>
      </c>
      <c r="F381">
        <f>装備閲覧!K382</f>
        <v>4</v>
      </c>
      <c r="G381">
        <f>装備閲覧!L382</f>
        <v>0</v>
      </c>
      <c r="H381">
        <f>装備閲覧!M382</f>
        <v>1</v>
      </c>
      <c r="I381">
        <f>装備閲覧!N382</f>
        <v>0</v>
      </c>
      <c r="J381">
        <f>装備閲覧!O382</f>
        <v>13</v>
      </c>
      <c r="K381">
        <f>装備閲覧!P382</f>
        <v>7</v>
      </c>
      <c r="L381">
        <f>装備閲覧!R382</f>
        <v>4</v>
      </c>
      <c r="M381">
        <f>装備閲覧!S382</f>
        <v>0</v>
      </c>
      <c r="N381" t="str">
        <f>装備閲覧!T382</f>
        <v>無</v>
      </c>
      <c r="O381">
        <f>装備閲覧!AA382</f>
        <v>0</v>
      </c>
      <c r="P381" s="1" t="str">
        <f>IFERROR(IFERROR(VLOOKUP(C381,改修!A:B,2,0),_xlfn.NUMBERVALUE(VLOOKUP(C381,特殊改修値!C:D,2,0))),"×")</f>
        <v>×</v>
      </c>
      <c r="Q381" t="str">
        <f>IFERROR(VLOOKUP(C381,装備ボーナス!B:C,2,0),"×")</f>
        <v>〇</v>
      </c>
      <c r="R381" t="str">
        <f>VLOOKUP(A381,wikiName!A:B,2,0)</f>
        <v>後期型潜水艦搭載電探＆逆探</v>
      </c>
    </row>
    <row r="382" spans="1:18" x14ac:dyDescent="0.4">
      <c r="A382">
        <f>装備閲覧!B383</f>
        <v>385</v>
      </c>
      <c r="B382" t="str">
        <f>装備閲覧!C383</f>
        <v>大口径主砲</v>
      </c>
      <c r="C382" t="str">
        <f>装備閲覧!D383</f>
        <v>16inch三連装砲 Mk.6 mod.2</v>
      </c>
      <c r="D382">
        <f>装備閲覧!H383</f>
        <v>3</v>
      </c>
      <c r="E382">
        <f>装備閲覧!J383</f>
        <v>23</v>
      </c>
      <c r="F382">
        <f>装備閲覧!K383</f>
        <v>0</v>
      </c>
      <c r="G382">
        <f>装備閲覧!L383</f>
        <v>2</v>
      </c>
      <c r="H382">
        <f>装備閲覧!M383</f>
        <v>2</v>
      </c>
      <c r="I382">
        <f>装備閲覧!N383</f>
        <v>0</v>
      </c>
      <c r="J382">
        <f>装備閲覧!O383</f>
        <v>0</v>
      </c>
      <c r="K382">
        <f>装備閲覧!P383</f>
        <v>0</v>
      </c>
      <c r="L382">
        <f>装備閲覧!R383</f>
        <v>3</v>
      </c>
      <c r="M382">
        <f>装備閲覧!S383</f>
        <v>0</v>
      </c>
      <c r="N382" t="str">
        <f>装備閲覧!T383</f>
        <v>長</v>
      </c>
      <c r="O382">
        <f>装備閲覧!AA383</f>
        <v>0</v>
      </c>
      <c r="P382" s="1">
        <f>IFERROR(IFERROR(VLOOKUP(C382,改修!A:B,2,0),_xlfn.NUMBERVALUE(VLOOKUP(C382,特殊改修値!C:D,2,0))),"×")</f>
        <v>10</v>
      </c>
      <c r="Q382" t="str">
        <f>IFERROR(VLOOKUP(C382,装備ボーナス!B:C,2,0),"×")</f>
        <v>〇</v>
      </c>
      <c r="R382" t="str">
        <f>VLOOKUP(A382,wikiName!A:B,2,0)</f>
        <v>16inch三連装砲 Mk.6 mod.2</v>
      </c>
    </row>
    <row r="383" spans="1:18" x14ac:dyDescent="0.4">
      <c r="A383">
        <f>装備閲覧!B384</f>
        <v>386</v>
      </c>
      <c r="B383" t="str">
        <f>装備閲覧!C384</f>
        <v>中口径主砲</v>
      </c>
      <c r="C383" t="str">
        <f>装備閲覧!D384</f>
        <v>6inch三連装速射砲 Mk.16</v>
      </c>
      <c r="D383">
        <f>装備閲覧!H384</f>
        <v>2</v>
      </c>
      <c r="E383">
        <f>装備閲覧!J384</f>
        <v>7</v>
      </c>
      <c r="F383">
        <f>装備閲覧!K384</f>
        <v>0</v>
      </c>
      <c r="G383">
        <f>装備閲覧!L384</f>
        <v>2</v>
      </c>
      <c r="H383">
        <f>装備閲覧!M384</f>
        <v>1</v>
      </c>
      <c r="I383">
        <f>装備閲覧!N384</f>
        <v>0</v>
      </c>
      <c r="J383">
        <f>装備閲覧!O384</f>
        <v>0</v>
      </c>
      <c r="K383">
        <f>装備閲覧!P384</f>
        <v>0</v>
      </c>
      <c r="L383">
        <f>装備閲覧!R384</f>
        <v>2</v>
      </c>
      <c r="M383">
        <f>装備閲覧!S384</f>
        <v>0</v>
      </c>
      <c r="N383" t="str">
        <f>装備閲覧!T384</f>
        <v>中</v>
      </c>
      <c r="O383">
        <f>装備閲覧!AA384</f>
        <v>0</v>
      </c>
      <c r="P383" s="1">
        <f>IFERROR(IFERROR(VLOOKUP(C383,改修!A:B,2,0),_xlfn.NUMBERVALUE(VLOOKUP(C383,特殊改修値!C:D,2,0))),"×")</f>
        <v>7</v>
      </c>
      <c r="Q383" t="str">
        <f>IFERROR(VLOOKUP(C383,装備ボーナス!B:C,2,0),"×")</f>
        <v>〇</v>
      </c>
      <c r="R383" t="str">
        <f>VLOOKUP(A383,wikiName!A:B,2,0)</f>
        <v>6inch三連装速射砲 Mk.16</v>
      </c>
    </row>
    <row r="384" spans="1:18" x14ac:dyDescent="0.4">
      <c r="A384">
        <f>装備閲覧!B385</f>
        <v>387</v>
      </c>
      <c r="B384" t="str">
        <f>装備閲覧!C385</f>
        <v>中口径主砲</v>
      </c>
      <c r="C384" t="str">
        <f>装備閲覧!D385</f>
        <v>6inch三連装速射砲 Mk.16 mod.2</v>
      </c>
      <c r="D384">
        <f>装備閲覧!H385</f>
        <v>2</v>
      </c>
      <c r="E384">
        <f>装備閲覧!J385</f>
        <v>8</v>
      </c>
      <c r="F384">
        <f>装備閲覧!K385</f>
        <v>0</v>
      </c>
      <c r="G384">
        <f>装備閲覧!L385</f>
        <v>3</v>
      </c>
      <c r="H384">
        <f>装備閲覧!M385</f>
        <v>1</v>
      </c>
      <c r="I384">
        <f>装備閲覧!N385</f>
        <v>0</v>
      </c>
      <c r="J384">
        <f>装備閲覧!O385</f>
        <v>1</v>
      </c>
      <c r="K384">
        <f>装備閲覧!P385</f>
        <v>0</v>
      </c>
      <c r="L384">
        <f>装備閲覧!R385</f>
        <v>4</v>
      </c>
      <c r="M384">
        <f>装備閲覧!S385</f>
        <v>0</v>
      </c>
      <c r="N384" t="str">
        <f>装備閲覧!T385</f>
        <v>中</v>
      </c>
      <c r="O384">
        <f>装備閲覧!AA385</f>
        <v>0</v>
      </c>
      <c r="P384" s="1" t="str">
        <f>IFERROR(IFERROR(VLOOKUP(C384,改修!A:B,2,0),_xlfn.NUMBERVALUE(VLOOKUP(C384,特殊改修値!C:D,2,0))),"×")</f>
        <v>×</v>
      </c>
      <c r="Q384" t="str">
        <f>IFERROR(VLOOKUP(C384,装備ボーナス!B:C,2,0),"×")</f>
        <v>〇</v>
      </c>
      <c r="R384" t="str">
        <f>VLOOKUP(A384,wikiName!A:B,2,0)</f>
        <v>6inch三連装速射砲 Mk.16 mod.2</v>
      </c>
    </row>
    <row r="385" spans="1:18" x14ac:dyDescent="0.4">
      <c r="A385">
        <f>装備閲覧!B386</f>
        <v>388</v>
      </c>
      <c r="B385" t="str">
        <f>装備閲覧!C386</f>
        <v>陸上攻撃機</v>
      </c>
      <c r="C385" t="str">
        <f>装備閲覧!D386</f>
        <v>銀河(江草隊)</v>
      </c>
      <c r="D385">
        <f>装備閲覧!H386</f>
        <v>37</v>
      </c>
      <c r="E385">
        <f>装備閲覧!J386</f>
        <v>0</v>
      </c>
      <c r="F385">
        <f>装備閲覧!K386</f>
        <v>15</v>
      </c>
      <c r="G385">
        <f>装備閲覧!L386</f>
        <v>3</v>
      </c>
      <c r="H385">
        <f>装備閲覧!M386</f>
        <v>0</v>
      </c>
      <c r="I385">
        <f>装備閲覧!N386</f>
        <v>4</v>
      </c>
      <c r="J385">
        <f>装備閲覧!O386</f>
        <v>0</v>
      </c>
      <c r="K385">
        <f>装備閲覧!P386</f>
        <v>4</v>
      </c>
      <c r="L385">
        <f>装備閲覧!R386</f>
        <v>3</v>
      </c>
      <c r="M385">
        <f>装備閲覧!S386</f>
        <v>15</v>
      </c>
      <c r="N385" t="str">
        <f>装備閲覧!T386</f>
        <v>無</v>
      </c>
      <c r="O385">
        <f>装備閲覧!AA386</f>
        <v>7</v>
      </c>
      <c r="P385" s="1" t="str">
        <f>IFERROR(IFERROR(VLOOKUP(C385,改修!A:B,2,0),_xlfn.NUMBERVALUE(VLOOKUP(C385,特殊改修値!C:D,2,0))),"×")</f>
        <v>×</v>
      </c>
      <c r="Q385" t="str">
        <f>IFERROR(VLOOKUP(C385,装備ボーナス!B:C,2,0),"×")</f>
        <v>×</v>
      </c>
      <c r="R385" t="str">
        <f>VLOOKUP(A385,wikiName!A:B,2,0)</f>
        <v>銀河(江草隊)</v>
      </c>
    </row>
    <row r="386" spans="1:18" x14ac:dyDescent="0.4">
      <c r="A386">
        <f>装備閲覧!B387</f>
        <v>389</v>
      </c>
      <c r="B386" t="str">
        <f>装備閲覧!C387</f>
        <v>艦上攻撃機</v>
      </c>
      <c r="C386" t="str">
        <f>装備閲覧!D387</f>
        <v>TBM-3W+3S</v>
      </c>
      <c r="D386">
        <f>装備閲覧!H387</f>
        <v>46</v>
      </c>
      <c r="E386">
        <f>装備閲覧!J387</f>
        <v>3</v>
      </c>
      <c r="F386">
        <f>装備閲覧!K387</f>
        <v>10</v>
      </c>
      <c r="G386">
        <f>装備閲覧!L387</f>
        <v>0</v>
      </c>
      <c r="H386">
        <f>装備閲覧!M387</f>
        <v>0</v>
      </c>
      <c r="I386">
        <f>装備閲覧!N387</f>
        <v>13</v>
      </c>
      <c r="J386">
        <f>装備閲覧!O387</f>
        <v>0</v>
      </c>
      <c r="K386">
        <f>装備閲覧!P387</f>
        <v>10</v>
      </c>
      <c r="L386">
        <f>装備閲覧!R387</f>
        <v>3</v>
      </c>
      <c r="M386">
        <f>装備閲覧!S387</f>
        <v>7</v>
      </c>
      <c r="N386" t="str">
        <f>装備閲覧!T387</f>
        <v>無</v>
      </c>
      <c r="O386">
        <f>装備閲覧!AA387</f>
        <v>5</v>
      </c>
      <c r="P386" s="1" t="str">
        <f>IFERROR(IFERROR(VLOOKUP(C386,改修!A:B,2,0),_xlfn.NUMBERVALUE(VLOOKUP(C386,特殊改修値!C:D,2,0))),"×")</f>
        <v>×</v>
      </c>
      <c r="Q386" t="str">
        <f>IFERROR(VLOOKUP(C386,装備ボーナス!B:C,2,0),"×")</f>
        <v>〇</v>
      </c>
      <c r="R386" t="str">
        <f>VLOOKUP(A386,wikiName!A:B,2,0)</f>
        <v>TBM-3W＋3S</v>
      </c>
    </row>
    <row r="387" spans="1:18" x14ac:dyDescent="0.4">
      <c r="A387">
        <f>装備閲覧!B388</f>
        <v>390</v>
      </c>
      <c r="B387" t="str">
        <f>装備閲覧!C388</f>
        <v>大口径主砲</v>
      </c>
      <c r="C387" t="str">
        <f>装備閲覧!D388</f>
        <v>16inch三連装砲 Mk.6+GFCS</v>
      </c>
      <c r="D387">
        <f>装備閲覧!H388</f>
        <v>3</v>
      </c>
      <c r="E387">
        <f>装備閲覧!J388</f>
        <v>23</v>
      </c>
      <c r="F387">
        <f>装備閲覧!K388</f>
        <v>0</v>
      </c>
      <c r="G387">
        <f>装備閲覧!L388</f>
        <v>3</v>
      </c>
      <c r="H387">
        <f>装備閲覧!M388</f>
        <v>2</v>
      </c>
      <c r="I387">
        <f>装備閲覧!N388</f>
        <v>0</v>
      </c>
      <c r="J387">
        <f>装備閲覧!O388</f>
        <v>1</v>
      </c>
      <c r="K387">
        <f>装備閲覧!P388</f>
        <v>0</v>
      </c>
      <c r="L387">
        <f>装備閲覧!R388</f>
        <v>6</v>
      </c>
      <c r="M387">
        <f>装備閲覧!S388</f>
        <v>0</v>
      </c>
      <c r="N387" t="str">
        <f>装備閲覧!T388</f>
        <v>長</v>
      </c>
      <c r="O387">
        <f>装備閲覧!AA388</f>
        <v>0</v>
      </c>
      <c r="P387" s="1">
        <f>IFERROR(IFERROR(VLOOKUP(C387,改修!A:B,2,0),_xlfn.NUMBERVALUE(VLOOKUP(C387,特殊改修値!C:D,2,0))),"×")</f>
        <v>7</v>
      </c>
      <c r="Q387" t="str">
        <f>IFERROR(VLOOKUP(C387,装備ボーナス!B:C,2,0),"×")</f>
        <v>〇</v>
      </c>
      <c r="R387" t="str">
        <f>VLOOKUP(A387,wikiName!A:B,2,0)</f>
        <v>16inch三連装砲 Mk.6＋GFCS</v>
      </c>
    </row>
    <row r="388" spans="1:18" x14ac:dyDescent="0.4">
      <c r="A388">
        <f>装備閲覧!B389</f>
        <v>391</v>
      </c>
      <c r="B388" t="str">
        <f>装備閲覧!C389</f>
        <v>艦上爆撃機</v>
      </c>
      <c r="C388" t="str">
        <f>装備閲覧!D389</f>
        <v>九九式艦爆二二型</v>
      </c>
      <c r="D388">
        <f>装備閲覧!H389</f>
        <v>7</v>
      </c>
      <c r="E388">
        <f>装備閲覧!J389</f>
        <v>0</v>
      </c>
      <c r="F388">
        <f>装備閲覧!K389</f>
        <v>0</v>
      </c>
      <c r="G388">
        <f>装備閲覧!L389</f>
        <v>0</v>
      </c>
      <c r="H388">
        <f>装備閲覧!M389</f>
        <v>0</v>
      </c>
      <c r="I388">
        <f>装備閲覧!N389</f>
        <v>3</v>
      </c>
      <c r="J388">
        <f>装備閲覧!O389</f>
        <v>0</v>
      </c>
      <c r="K388">
        <f>装備閲覧!P389</f>
        <v>2</v>
      </c>
      <c r="L388">
        <f>装備閲覧!R389</f>
        <v>1</v>
      </c>
      <c r="M388">
        <f>装備閲覧!S389</f>
        <v>6</v>
      </c>
      <c r="N388" t="str">
        <f>装備閲覧!T389</f>
        <v>無</v>
      </c>
      <c r="O388">
        <f>装備閲覧!AA389</f>
        <v>3</v>
      </c>
      <c r="P388" s="1" t="str">
        <f>IFERROR(IFERROR(VLOOKUP(C388,改修!A:B,2,0),_xlfn.NUMBERVALUE(VLOOKUP(C388,特殊改修値!C:D,2,0))),"×")</f>
        <v>×</v>
      </c>
      <c r="Q388" t="str">
        <f>IFERROR(VLOOKUP(C388,装備ボーナス!B:C,2,0),"×")</f>
        <v>×</v>
      </c>
      <c r="R388" t="str">
        <f>VLOOKUP(A388,wikiName!A:B,2,0)</f>
        <v>九九式艦爆二二型</v>
      </c>
    </row>
    <row r="389" spans="1:18" x14ac:dyDescent="0.4">
      <c r="A389">
        <f>装備閲覧!B390</f>
        <v>392</v>
      </c>
      <c r="B389" t="str">
        <f>装備閲覧!C390</f>
        <v>艦上爆撃機</v>
      </c>
      <c r="C389" t="str">
        <f>装備閲覧!D390</f>
        <v>九九式艦爆二二型(熟練)</v>
      </c>
      <c r="D389">
        <f>装備閲覧!H390</f>
        <v>7</v>
      </c>
      <c r="E389">
        <f>装備閲覧!J390</f>
        <v>0</v>
      </c>
      <c r="F389">
        <f>装備閲覧!K390</f>
        <v>0</v>
      </c>
      <c r="G389">
        <f>装備閲覧!L390</f>
        <v>1</v>
      </c>
      <c r="H389">
        <f>装備閲覧!M390</f>
        <v>0</v>
      </c>
      <c r="I389">
        <f>装備閲覧!N390</f>
        <v>4</v>
      </c>
      <c r="J389">
        <f>装備閲覧!O390</f>
        <v>0</v>
      </c>
      <c r="K389">
        <f>装備閲覧!P390</f>
        <v>3</v>
      </c>
      <c r="L389">
        <f>装備閲覧!R390</f>
        <v>3</v>
      </c>
      <c r="M389">
        <f>装備閲覧!S390</f>
        <v>8</v>
      </c>
      <c r="N389" t="str">
        <f>装備閲覧!T390</f>
        <v>無</v>
      </c>
      <c r="O389">
        <f>装備閲覧!AA390</f>
        <v>3</v>
      </c>
      <c r="P389" s="1" t="str">
        <f>IFERROR(IFERROR(VLOOKUP(C389,改修!A:B,2,0),_xlfn.NUMBERVALUE(VLOOKUP(C389,特殊改修値!C:D,2,0))),"×")</f>
        <v>×</v>
      </c>
      <c r="Q389" t="str">
        <f>IFERROR(VLOOKUP(C389,装備ボーナス!B:C,2,0),"×")</f>
        <v>〇</v>
      </c>
      <c r="R389" t="str">
        <f>VLOOKUP(A389,wikiName!A:B,2,0)</f>
        <v>九九式艦爆二二型(熟練)</v>
      </c>
    </row>
    <row r="390" spans="1:18" x14ac:dyDescent="0.4">
      <c r="A390">
        <f>装備閲覧!B391</f>
        <v>393</v>
      </c>
      <c r="B390" t="str">
        <f>装備閲覧!C391</f>
        <v>小口径主砲</v>
      </c>
      <c r="C390" t="str">
        <f>装備閲覧!D391</f>
        <v>120mm/50 連装砲 mod.1936</v>
      </c>
      <c r="D390">
        <f>装備閲覧!H391</f>
        <v>1</v>
      </c>
      <c r="E390">
        <f>装備閲覧!J391</f>
        <v>3</v>
      </c>
      <c r="F390">
        <f>装備閲覧!K391</f>
        <v>0</v>
      </c>
      <c r="G390">
        <f>装備閲覧!L391</f>
        <v>3</v>
      </c>
      <c r="H390">
        <f>装備閲覧!M391</f>
        <v>0</v>
      </c>
      <c r="I390">
        <f>装備閲覧!N391</f>
        <v>0</v>
      </c>
      <c r="J390">
        <f>装備閲覧!O391</f>
        <v>0</v>
      </c>
      <c r="K390">
        <f>装備閲覧!P391</f>
        <v>0</v>
      </c>
      <c r="L390">
        <f>装備閲覧!R391</f>
        <v>2</v>
      </c>
      <c r="M390">
        <f>装備閲覧!S391</f>
        <v>0</v>
      </c>
      <c r="N390" t="str">
        <f>装備閲覧!T391</f>
        <v>短</v>
      </c>
      <c r="O390">
        <f>装備閲覧!AA391</f>
        <v>0</v>
      </c>
      <c r="P390" s="1">
        <f>IFERROR(IFERROR(VLOOKUP(C390,改修!A:B,2,0),_xlfn.NUMBERVALUE(VLOOKUP(C390,特殊改修値!C:D,2,0))),"×")</f>
        <v>3</v>
      </c>
      <c r="Q390" t="str">
        <f>IFERROR(VLOOKUP(C390,装備ボーナス!B:C,2,0),"×")</f>
        <v>〇</v>
      </c>
      <c r="R390" t="str">
        <f>VLOOKUP(A390,wikiName!A:B,2,0)</f>
        <v>120mm／50 連装砲 mod.1936</v>
      </c>
    </row>
    <row r="391" spans="1:18" x14ac:dyDescent="0.4">
      <c r="A391">
        <f>装備閲覧!B392</f>
        <v>394</v>
      </c>
      <c r="B391" t="str">
        <f>装備閲覧!C392</f>
        <v>小口径主砲</v>
      </c>
      <c r="C391" t="str">
        <f>装備閲覧!D392</f>
        <v>120mm/50 連装砲改 A.mod.1937</v>
      </c>
      <c r="D391">
        <f>装備閲覧!H392</f>
        <v>1</v>
      </c>
      <c r="E391">
        <f>装備閲覧!J392</f>
        <v>3</v>
      </c>
      <c r="F391">
        <f>装備閲覧!K392</f>
        <v>0</v>
      </c>
      <c r="G391">
        <f>装備閲覧!L392</f>
        <v>4</v>
      </c>
      <c r="H391">
        <f>装備閲覧!M392</f>
        <v>0</v>
      </c>
      <c r="I391">
        <f>装備閲覧!N392</f>
        <v>0</v>
      </c>
      <c r="J391">
        <f>装備閲覧!O392</f>
        <v>0</v>
      </c>
      <c r="K391">
        <f>装備閲覧!P392</f>
        <v>0</v>
      </c>
      <c r="L391">
        <f>装備閲覧!R392</f>
        <v>3</v>
      </c>
      <c r="M391">
        <f>装備閲覧!S392</f>
        <v>0</v>
      </c>
      <c r="N391" t="str">
        <f>装備閲覧!T392</f>
        <v>短</v>
      </c>
      <c r="O391">
        <f>装備閲覧!AA392</f>
        <v>0</v>
      </c>
      <c r="P391" s="1">
        <f>IFERROR(IFERROR(VLOOKUP(C391,改修!A:B,2,0),_xlfn.NUMBERVALUE(VLOOKUP(C391,特殊改修値!C:D,2,0))),"×")</f>
        <v>3</v>
      </c>
      <c r="Q391" t="str">
        <f>IFERROR(VLOOKUP(C391,装備ボーナス!B:C,2,0),"×")</f>
        <v>〇</v>
      </c>
      <c r="R391" t="str">
        <f>VLOOKUP(A391,wikiName!A:B,2,0)</f>
        <v>120mm／50 連装砲改 A.mod.1937</v>
      </c>
    </row>
    <row r="392" spans="1:18" x14ac:dyDescent="0.4">
      <c r="A392">
        <f>装備閲覧!B393</f>
        <v>395</v>
      </c>
      <c r="B392" t="str">
        <f>装備閲覧!C393</f>
        <v>大型陸上機</v>
      </c>
      <c r="C392" t="str">
        <f>装備閲覧!D393</f>
        <v>深山</v>
      </c>
      <c r="D392">
        <f>装備閲覧!H393</f>
        <v>49</v>
      </c>
      <c r="E392">
        <f>装備閲覧!J393</f>
        <v>0</v>
      </c>
      <c r="F392">
        <f>装備閲覧!K393</f>
        <v>16</v>
      </c>
      <c r="G392">
        <f>装備閲覧!L393</f>
        <v>1</v>
      </c>
      <c r="H392">
        <f>装備閲覧!M393</f>
        <v>0</v>
      </c>
      <c r="I392">
        <f>装備閲覧!N393</f>
        <v>0</v>
      </c>
      <c r="J392">
        <f>装備閲覧!O393</f>
        <v>0</v>
      </c>
      <c r="K392">
        <f>装備閲覧!P393</f>
        <v>0</v>
      </c>
      <c r="L392">
        <f>装備閲覧!R393</f>
        <v>0</v>
      </c>
      <c r="M392">
        <f>装備閲覧!S393</f>
        <v>17</v>
      </c>
      <c r="N392" t="str">
        <f>装備閲覧!T393</f>
        <v>無</v>
      </c>
      <c r="O392">
        <f>装備閲覧!AA393</f>
        <v>10</v>
      </c>
      <c r="P392" s="1" t="str">
        <f>IFERROR(IFERROR(VLOOKUP(C392,改修!A:B,2,0),_xlfn.NUMBERVALUE(VLOOKUP(C392,特殊改修値!C:D,2,0))),"×")</f>
        <v>×</v>
      </c>
      <c r="Q392" t="str">
        <f>IFERROR(VLOOKUP(C392,装備ボーナス!B:C,2,0),"×")</f>
        <v>×</v>
      </c>
      <c r="R392" t="str">
        <f>VLOOKUP(A392,wikiName!A:B,2,0)</f>
        <v>深山</v>
      </c>
    </row>
    <row r="393" spans="1:18" x14ac:dyDescent="0.4">
      <c r="A393">
        <f>装備閲覧!B394</f>
        <v>396</v>
      </c>
      <c r="B393" t="str">
        <f>装備閲覧!C394</f>
        <v>大型陸上機</v>
      </c>
      <c r="C393" t="str">
        <f>装備閲覧!D394</f>
        <v>深山改</v>
      </c>
      <c r="D393">
        <f>装備閲覧!H394</f>
        <v>49</v>
      </c>
      <c r="E393">
        <f>装備閲覧!J394</f>
        <v>0</v>
      </c>
      <c r="F393">
        <f>装備閲覧!K394</f>
        <v>17</v>
      </c>
      <c r="G393">
        <f>装備閲覧!L394</f>
        <v>2</v>
      </c>
      <c r="H393">
        <f>装備閲覧!M394</f>
        <v>0</v>
      </c>
      <c r="I393">
        <f>装備閲覧!N394</f>
        <v>0</v>
      </c>
      <c r="J393">
        <f>装備閲覧!O394</f>
        <v>0</v>
      </c>
      <c r="K393">
        <f>装備閲覧!P394</f>
        <v>0</v>
      </c>
      <c r="L393">
        <f>装備閲覧!R394</f>
        <v>0</v>
      </c>
      <c r="M393">
        <f>装備閲覧!S394</f>
        <v>19</v>
      </c>
      <c r="N393" t="str">
        <f>装備閲覧!T394</f>
        <v>無</v>
      </c>
      <c r="O393">
        <f>装備閲覧!AA394</f>
        <v>11</v>
      </c>
      <c r="P393" s="1" t="str">
        <f>IFERROR(IFERROR(VLOOKUP(C393,改修!A:B,2,0),_xlfn.NUMBERVALUE(VLOOKUP(C393,特殊改修値!C:D,2,0))),"×")</f>
        <v>×</v>
      </c>
      <c r="Q393" t="str">
        <f>IFERROR(VLOOKUP(C393,装備ボーナス!B:C,2,0),"×")</f>
        <v>×</v>
      </c>
      <c r="R393" t="str">
        <f>VLOOKUP(A393,wikiName!A:B,2,0)</f>
        <v>深山改</v>
      </c>
    </row>
    <row r="394" spans="1:18" x14ac:dyDescent="0.4">
      <c r="P394" s="2"/>
    </row>
  </sheetData>
  <phoneticPr fontId="18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08407-6692-438D-9186-A2EAB53C18FF}">
  <sheetPr codeName="Sheet4"/>
  <dimension ref="A1:B396"/>
  <sheetViews>
    <sheetView topLeftCell="A375" workbookViewId="0">
      <selection activeCell="E403" sqref="E403"/>
    </sheetView>
  </sheetViews>
  <sheetFormatPr defaultRowHeight="18.75" x14ac:dyDescent="0.4"/>
  <cols>
    <col min="2" max="2" width="62.5" bestFit="1" customWidth="1"/>
  </cols>
  <sheetData>
    <row r="1" spans="1:2" x14ac:dyDescent="0.4">
      <c r="A1">
        <v>1</v>
      </c>
      <c r="B1" t="s">
        <v>29</v>
      </c>
    </row>
    <row r="2" spans="1:2" x14ac:dyDescent="0.4">
      <c r="A2">
        <v>2</v>
      </c>
      <c r="B2" t="s">
        <v>32</v>
      </c>
    </row>
    <row r="3" spans="1:2" x14ac:dyDescent="0.4">
      <c r="A3">
        <v>3</v>
      </c>
      <c r="B3" t="s">
        <v>33</v>
      </c>
    </row>
    <row r="4" spans="1:2" x14ac:dyDescent="0.4">
      <c r="A4">
        <v>4</v>
      </c>
      <c r="B4" t="s">
        <v>35</v>
      </c>
    </row>
    <row r="5" spans="1:2" x14ac:dyDescent="0.4">
      <c r="A5">
        <v>5</v>
      </c>
      <c r="B5" t="s">
        <v>37</v>
      </c>
    </row>
    <row r="6" spans="1:2" x14ac:dyDescent="0.4">
      <c r="A6">
        <v>6</v>
      </c>
      <c r="B6" t="s">
        <v>38</v>
      </c>
    </row>
    <row r="7" spans="1:2" x14ac:dyDescent="0.4">
      <c r="A7">
        <v>7</v>
      </c>
      <c r="B7" t="s">
        <v>40</v>
      </c>
    </row>
    <row r="8" spans="1:2" x14ac:dyDescent="0.4">
      <c r="A8">
        <v>8</v>
      </c>
      <c r="B8" t="s">
        <v>42</v>
      </c>
    </row>
    <row r="9" spans="1:2" x14ac:dyDescent="0.4">
      <c r="A9">
        <v>9</v>
      </c>
      <c r="B9" t="s">
        <v>43</v>
      </c>
    </row>
    <row r="10" spans="1:2" x14ac:dyDescent="0.4">
      <c r="A10">
        <v>10</v>
      </c>
      <c r="B10" t="s">
        <v>47</v>
      </c>
    </row>
    <row r="11" spans="1:2" x14ac:dyDescent="0.4">
      <c r="A11">
        <v>11</v>
      </c>
      <c r="B11" t="s">
        <v>48</v>
      </c>
    </row>
    <row r="12" spans="1:2" x14ac:dyDescent="0.4">
      <c r="A12">
        <v>12</v>
      </c>
      <c r="B12" t="s">
        <v>49</v>
      </c>
    </row>
    <row r="13" spans="1:2" x14ac:dyDescent="0.4">
      <c r="A13">
        <v>13</v>
      </c>
      <c r="B13" t="s">
        <v>51</v>
      </c>
    </row>
    <row r="14" spans="1:2" x14ac:dyDescent="0.4">
      <c r="A14">
        <v>14</v>
      </c>
      <c r="B14" t="s">
        <v>52</v>
      </c>
    </row>
    <row r="15" spans="1:2" x14ac:dyDescent="0.4">
      <c r="A15">
        <v>15</v>
      </c>
      <c r="B15" t="s">
        <v>53</v>
      </c>
    </row>
    <row r="16" spans="1:2" x14ac:dyDescent="0.4">
      <c r="A16">
        <v>16</v>
      </c>
      <c r="B16" t="s">
        <v>55</v>
      </c>
    </row>
    <row r="17" spans="1:2" x14ac:dyDescent="0.4">
      <c r="A17">
        <v>17</v>
      </c>
      <c r="B17" t="s">
        <v>57</v>
      </c>
    </row>
    <row r="18" spans="1:2" x14ac:dyDescent="0.4">
      <c r="A18">
        <v>18</v>
      </c>
      <c r="B18" t="s">
        <v>58</v>
      </c>
    </row>
    <row r="19" spans="1:2" x14ac:dyDescent="0.4">
      <c r="A19">
        <v>19</v>
      </c>
      <c r="B19" t="s">
        <v>60</v>
      </c>
    </row>
    <row r="20" spans="1:2" x14ac:dyDescent="0.4">
      <c r="A20">
        <v>20</v>
      </c>
      <c r="B20" t="s">
        <v>61</v>
      </c>
    </row>
    <row r="21" spans="1:2" x14ac:dyDescent="0.4">
      <c r="A21">
        <v>21</v>
      </c>
      <c r="B21" t="s">
        <v>62</v>
      </c>
    </row>
    <row r="22" spans="1:2" x14ac:dyDescent="0.4">
      <c r="A22">
        <v>22</v>
      </c>
      <c r="B22" t="s">
        <v>63</v>
      </c>
    </row>
    <row r="23" spans="1:2" x14ac:dyDescent="0.4">
      <c r="A23">
        <v>23</v>
      </c>
      <c r="B23" t="s">
        <v>66</v>
      </c>
    </row>
    <row r="24" spans="1:2" x14ac:dyDescent="0.4">
      <c r="A24">
        <v>24</v>
      </c>
      <c r="B24" t="s">
        <v>67</v>
      </c>
    </row>
    <row r="25" spans="1:2" x14ac:dyDescent="0.4">
      <c r="A25">
        <v>25</v>
      </c>
      <c r="B25" t="s">
        <v>69</v>
      </c>
    </row>
    <row r="26" spans="1:2" x14ac:dyDescent="0.4">
      <c r="A26">
        <v>26</v>
      </c>
      <c r="B26" t="s">
        <v>71</v>
      </c>
    </row>
    <row r="27" spans="1:2" x14ac:dyDescent="0.4">
      <c r="A27">
        <v>27</v>
      </c>
      <c r="B27" t="s">
        <v>73</v>
      </c>
    </row>
    <row r="28" spans="1:2" x14ac:dyDescent="0.4">
      <c r="A28">
        <v>28</v>
      </c>
      <c r="B28" t="s">
        <v>74</v>
      </c>
    </row>
    <row r="29" spans="1:2" x14ac:dyDescent="0.4">
      <c r="A29">
        <v>29</v>
      </c>
      <c r="B29" t="s">
        <v>75</v>
      </c>
    </row>
    <row r="30" spans="1:2" x14ac:dyDescent="0.4">
      <c r="A30">
        <v>30</v>
      </c>
      <c r="B30" t="s">
        <v>77</v>
      </c>
    </row>
    <row r="31" spans="1:2" x14ac:dyDescent="0.4">
      <c r="A31">
        <v>31</v>
      </c>
      <c r="B31" t="s">
        <v>78</v>
      </c>
    </row>
    <row r="32" spans="1:2" x14ac:dyDescent="0.4">
      <c r="A32">
        <v>32</v>
      </c>
      <c r="B32" t="s">
        <v>79</v>
      </c>
    </row>
    <row r="33" spans="1:2" x14ac:dyDescent="0.4">
      <c r="A33">
        <v>33</v>
      </c>
      <c r="B33" t="s">
        <v>82</v>
      </c>
    </row>
    <row r="34" spans="1:2" x14ac:dyDescent="0.4">
      <c r="A34">
        <v>34</v>
      </c>
      <c r="B34" t="s">
        <v>83</v>
      </c>
    </row>
    <row r="35" spans="1:2" x14ac:dyDescent="0.4">
      <c r="A35">
        <v>35</v>
      </c>
      <c r="B35" t="s">
        <v>85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89</v>
      </c>
    </row>
    <row r="38" spans="1:2" x14ac:dyDescent="0.4">
      <c r="A38">
        <v>38</v>
      </c>
      <c r="B38" t="s">
        <v>90</v>
      </c>
    </row>
    <row r="39" spans="1:2" x14ac:dyDescent="0.4">
      <c r="A39">
        <v>39</v>
      </c>
      <c r="B39" t="s">
        <v>91</v>
      </c>
    </row>
    <row r="40" spans="1:2" x14ac:dyDescent="0.4">
      <c r="A40">
        <v>40</v>
      </c>
      <c r="B40" t="s">
        <v>92</v>
      </c>
    </row>
    <row r="41" spans="1:2" x14ac:dyDescent="0.4">
      <c r="A41">
        <v>41</v>
      </c>
      <c r="B41" t="s">
        <v>94</v>
      </c>
    </row>
    <row r="42" spans="1:2" x14ac:dyDescent="0.4">
      <c r="A42">
        <v>42</v>
      </c>
      <c r="B42" t="s">
        <v>95</v>
      </c>
    </row>
    <row r="43" spans="1:2" x14ac:dyDescent="0.4">
      <c r="A43">
        <v>43</v>
      </c>
      <c r="B43" t="s">
        <v>96</v>
      </c>
    </row>
    <row r="44" spans="1:2" x14ac:dyDescent="0.4">
      <c r="A44">
        <v>44</v>
      </c>
      <c r="B44" t="s">
        <v>98</v>
      </c>
    </row>
    <row r="45" spans="1:2" x14ac:dyDescent="0.4">
      <c r="A45">
        <v>45</v>
      </c>
      <c r="B45" t="s">
        <v>99</v>
      </c>
    </row>
    <row r="46" spans="1:2" x14ac:dyDescent="0.4">
      <c r="A46">
        <v>46</v>
      </c>
      <c r="B46" t="s">
        <v>101</v>
      </c>
    </row>
    <row r="47" spans="1:2" x14ac:dyDescent="0.4">
      <c r="A47">
        <v>47</v>
      </c>
      <c r="B47" t="s">
        <v>102</v>
      </c>
    </row>
    <row r="48" spans="1:2" x14ac:dyDescent="0.4">
      <c r="A48">
        <v>48</v>
      </c>
      <c r="B48" t="s">
        <v>103</v>
      </c>
    </row>
    <row r="49" spans="1:2" x14ac:dyDescent="0.4">
      <c r="A49">
        <v>49</v>
      </c>
      <c r="B49" t="s">
        <v>104</v>
      </c>
    </row>
    <row r="50" spans="1:2" x14ac:dyDescent="0.4">
      <c r="A50">
        <v>50</v>
      </c>
      <c r="B50" t="s">
        <v>105</v>
      </c>
    </row>
    <row r="51" spans="1:2" x14ac:dyDescent="0.4">
      <c r="A51">
        <v>51</v>
      </c>
      <c r="B51" t="s">
        <v>106</v>
      </c>
    </row>
    <row r="52" spans="1:2" x14ac:dyDescent="0.4">
      <c r="A52">
        <v>52</v>
      </c>
      <c r="B52" t="s">
        <v>107</v>
      </c>
    </row>
    <row r="53" spans="1:2" x14ac:dyDescent="0.4">
      <c r="A53">
        <v>53</v>
      </c>
      <c r="B53" t="s">
        <v>108</v>
      </c>
    </row>
    <row r="54" spans="1:2" x14ac:dyDescent="0.4">
      <c r="A54">
        <v>54</v>
      </c>
      <c r="B54" t="s">
        <v>110</v>
      </c>
    </row>
    <row r="55" spans="1:2" x14ac:dyDescent="0.4">
      <c r="A55">
        <v>55</v>
      </c>
      <c r="B55" t="s">
        <v>111</v>
      </c>
    </row>
    <row r="56" spans="1:2" x14ac:dyDescent="0.4">
      <c r="A56">
        <v>56</v>
      </c>
      <c r="B56" t="s">
        <v>112</v>
      </c>
    </row>
    <row r="57" spans="1:2" x14ac:dyDescent="0.4">
      <c r="A57">
        <v>57</v>
      </c>
      <c r="B57" t="s">
        <v>114</v>
      </c>
    </row>
    <row r="58" spans="1:2" x14ac:dyDescent="0.4">
      <c r="A58">
        <v>58</v>
      </c>
      <c r="B58" t="s">
        <v>115</v>
      </c>
    </row>
    <row r="59" spans="1:2" x14ac:dyDescent="0.4">
      <c r="A59">
        <v>59</v>
      </c>
      <c r="B59" t="s">
        <v>116</v>
      </c>
    </row>
    <row r="60" spans="1:2" x14ac:dyDescent="0.4">
      <c r="A60">
        <v>60</v>
      </c>
      <c r="B60" t="s">
        <v>117</v>
      </c>
    </row>
    <row r="61" spans="1:2" x14ac:dyDescent="0.4">
      <c r="A61">
        <v>61</v>
      </c>
      <c r="B61" t="s">
        <v>118</v>
      </c>
    </row>
    <row r="62" spans="1:2" x14ac:dyDescent="0.4">
      <c r="A62">
        <v>62</v>
      </c>
      <c r="B62" t="s">
        <v>119</v>
      </c>
    </row>
    <row r="63" spans="1:2" x14ac:dyDescent="0.4">
      <c r="A63">
        <v>63</v>
      </c>
      <c r="B63" t="s">
        <v>120</v>
      </c>
    </row>
    <row r="64" spans="1:2" x14ac:dyDescent="0.4">
      <c r="A64">
        <v>64</v>
      </c>
      <c r="B64" t="s">
        <v>121</v>
      </c>
    </row>
    <row r="65" spans="1:2" x14ac:dyDescent="0.4">
      <c r="A65">
        <v>65</v>
      </c>
      <c r="B65" t="s">
        <v>122</v>
      </c>
    </row>
    <row r="66" spans="1:2" x14ac:dyDescent="0.4">
      <c r="A66">
        <v>66</v>
      </c>
      <c r="B66" t="s">
        <v>123</v>
      </c>
    </row>
    <row r="67" spans="1:2" x14ac:dyDescent="0.4">
      <c r="A67">
        <v>67</v>
      </c>
      <c r="B67" t="s">
        <v>124</v>
      </c>
    </row>
    <row r="68" spans="1:2" x14ac:dyDescent="0.4">
      <c r="A68">
        <v>68</v>
      </c>
      <c r="B68" t="s">
        <v>126</v>
      </c>
    </row>
    <row r="69" spans="1:2" x14ac:dyDescent="0.4">
      <c r="A69">
        <v>69</v>
      </c>
      <c r="B69" t="s">
        <v>128</v>
      </c>
    </row>
    <row r="70" spans="1:2" x14ac:dyDescent="0.4">
      <c r="A70">
        <v>70</v>
      </c>
      <c r="B70" t="s">
        <v>130</v>
      </c>
    </row>
    <row r="71" spans="1:2" x14ac:dyDescent="0.4">
      <c r="A71">
        <v>71</v>
      </c>
      <c r="B71" t="s">
        <v>131</v>
      </c>
    </row>
    <row r="72" spans="1:2" x14ac:dyDescent="0.4">
      <c r="A72">
        <v>72</v>
      </c>
      <c r="B72" t="s">
        <v>133</v>
      </c>
    </row>
    <row r="73" spans="1:2" x14ac:dyDescent="0.4">
      <c r="A73">
        <v>73</v>
      </c>
      <c r="B73" t="s">
        <v>135</v>
      </c>
    </row>
    <row r="74" spans="1:2" x14ac:dyDescent="0.4">
      <c r="A74">
        <v>74</v>
      </c>
      <c r="B74" t="s">
        <v>136</v>
      </c>
    </row>
    <row r="75" spans="1:2" x14ac:dyDescent="0.4">
      <c r="A75">
        <v>75</v>
      </c>
      <c r="B75" t="s">
        <v>138</v>
      </c>
    </row>
    <row r="76" spans="1:2" x14ac:dyDescent="0.4">
      <c r="A76">
        <v>76</v>
      </c>
      <c r="B76" t="s">
        <v>139</v>
      </c>
    </row>
    <row r="77" spans="1:2" x14ac:dyDescent="0.4">
      <c r="A77">
        <v>77</v>
      </c>
      <c r="B77" t="s">
        <v>140</v>
      </c>
    </row>
    <row r="78" spans="1:2" x14ac:dyDescent="0.4">
      <c r="A78">
        <v>78</v>
      </c>
      <c r="B78" t="s">
        <v>141</v>
      </c>
    </row>
    <row r="79" spans="1:2" x14ac:dyDescent="0.4">
      <c r="A79">
        <v>79</v>
      </c>
      <c r="B79" t="s">
        <v>142</v>
      </c>
    </row>
    <row r="80" spans="1:2" x14ac:dyDescent="0.4">
      <c r="A80">
        <v>80</v>
      </c>
      <c r="B80" t="s">
        <v>143</v>
      </c>
    </row>
    <row r="81" spans="1:2" x14ac:dyDescent="0.4">
      <c r="A81">
        <v>81</v>
      </c>
      <c r="B81" t="s">
        <v>144</v>
      </c>
    </row>
    <row r="82" spans="1:2" x14ac:dyDescent="0.4">
      <c r="A82">
        <v>82</v>
      </c>
      <c r="B82" t="s">
        <v>145</v>
      </c>
    </row>
    <row r="83" spans="1:2" x14ac:dyDescent="0.4">
      <c r="A83">
        <v>83</v>
      </c>
      <c r="B83" t="s">
        <v>146</v>
      </c>
    </row>
    <row r="84" spans="1:2" x14ac:dyDescent="0.4">
      <c r="A84">
        <v>84</v>
      </c>
      <c r="B84" t="s">
        <v>147</v>
      </c>
    </row>
    <row r="85" spans="1:2" x14ac:dyDescent="0.4">
      <c r="A85">
        <v>85</v>
      </c>
      <c r="B85" t="s">
        <v>148</v>
      </c>
    </row>
    <row r="86" spans="1:2" x14ac:dyDescent="0.4">
      <c r="A86">
        <v>86</v>
      </c>
      <c r="B86" t="s">
        <v>149</v>
      </c>
    </row>
    <row r="87" spans="1:2" x14ac:dyDescent="0.4">
      <c r="A87">
        <v>87</v>
      </c>
      <c r="B87" t="s">
        <v>150</v>
      </c>
    </row>
    <row r="88" spans="1:2" x14ac:dyDescent="0.4">
      <c r="A88">
        <v>88</v>
      </c>
      <c r="B88" t="s">
        <v>151</v>
      </c>
    </row>
    <row r="89" spans="1:2" x14ac:dyDescent="0.4">
      <c r="A89">
        <v>89</v>
      </c>
      <c r="B89" t="s">
        <v>152</v>
      </c>
    </row>
    <row r="90" spans="1:2" x14ac:dyDescent="0.4">
      <c r="A90">
        <v>90</v>
      </c>
      <c r="B90" t="s">
        <v>153</v>
      </c>
    </row>
    <row r="91" spans="1:2" x14ac:dyDescent="0.4">
      <c r="A91">
        <v>91</v>
      </c>
      <c r="B91" t="s">
        <v>154</v>
      </c>
    </row>
    <row r="92" spans="1:2" x14ac:dyDescent="0.4">
      <c r="A92">
        <v>92</v>
      </c>
      <c r="B92" t="s">
        <v>155</v>
      </c>
    </row>
    <row r="93" spans="1:2" x14ac:dyDescent="0.4">
      <c r="A93">
        <v>93</v>
      </c>
      <c r="B93" t="s">
        <v>156</v>
      </c>
    </row>
    <row r="94" spans="1:2" x14ac:dyDescent="0.4">
      <c r="A94">
        <v>94</v>
      </c>
      <c r="B94" t="s">
        <v>157</v>
      </c>
    </row>
    <row r="95" spans="1:2" x14ac:dyDescent="0.4">
      <c r="A95">
        <v>95</v>
      </c>
      <c r="B95" t="s">
        <v>159</v>
      </c>
    </row>
    <row r="96" spans="1:2" x14ac:dyDescent="0.4">
      <c r="A96">
        <v>96</v>
      </c>
      <c r="B96" t="s">
        <v>160</v>
      </c>
    </row>
    <row r="97" spans="1:2" x14ac:dyDescent="0.4">
      <c r="A97">
        <v>97</v>
      </c>
      <c r="B97" t="s">
        <v>161</v>
      </c>
    </row>
    <row r="98" spans="1:2" x14ac:dyDescent="0.4">
      <c r="A98">
        <v>98</v>
      </c>
      <c r="B98" t="s">
        <v>162</v>
      </c>
    </row>
    <row r="99" spans="1:2" x14ac:dyDescent="0.4">
      <c r="A99">
        <v>99</v>
      </c>
      <c r="B99" t="s">
        <v>163</v>
      </c>
    </row>
    <row r="100" spans="1:2" x14ac:dyDescent="0.4">
      <c r="A100">
        <v>100</v>
      </c>
      <c r="B100" t="s">
        <v>164</v>
      </c>
    </row>
    <row r="101" spans="1:2" x14ac:dyDescent="0.4">
      <c r="A101">
        <v>101</v>
      </c>
      <c r="B101" t="s">
        <v>165</v>
      </c>
    </row>
    <row r="102" spans="1:2" x14ac:dyDescent="0.4">
      <c r="A102">
        <v>102</v>
      </c>
      <c r="B102" t="s">
        <v>166</v>
      </c>
    </row>
    <row r="103" spans="1:2" x14ac:dyDescent="0.4">
      <c r="A103">
        <v>103</v>
      </c>
      <c r="B103" t="s">
        <v>167</v>
      </c>
    </row>
    <row r="104" spans="1:2" x14ac:dyDescent="0.4">
      <c r="A104">
        <v>104</v>
      </c>
      <c r="B104" t="s">
        <v>168</v>
      </c>
    </row>
    <row r="105" spans="1:2" x14ac:dyDescent="0.4">
      <c r="A105">
        <v>105</v>
      </c>
      <c r="B105" t="s">
        <v>169</v>
      </c>
    </row>
    <row r="106" spans="1:2" x14ac:dyDescent="0.4">
      <c r="A106">
        <v>106</v>
      </c>
      <c r="B106" t="s">
        <v>170</v>
      </c>
    </row>
    <row r="107" spans="1:2" x14ac:dyDescent="0.4">
      <c r="A107">
        <v>107</v>
      </c>
      <c r="B107" t="s">
        <v>172</v>
      </c>
    </row>
    <row r="108" spans="1:2" x14ac:dyDescent="0.4">
      <c r="A108">
        <v>108</v>
      </c>
      <c r="B108" t="s">
        <v>174</v>
      </c>
    </row>
    <row r="109" spans="1:2" x14ac:dyDescent="0.4">
      <c r="A109">
        <v>109</v>
      </c>
      <c r="B109" t="s">
        <v>175</v>
      </c>
    </row>
    <row r="110" spans="1:2" x14ac:dyDescent="0.4">
      <c r="A110">
        <v>110</v>
      </c>
      <c r="B110" t="s">
        <v>176</v>
      </c>
    </row>
    <row r="111" spans="1:2" x14ac:dyDescent="0.4">
      <c r="A111">
        <v>111</v>
      </c>
      <c r="B111" t="s">
        <v>177</v>
      </c>
    </row>
    <row r="112" spans="1:2" x14ac:dyDescent="0.4">
      <c r="A112">
        <v>112</v>
      </c>
      <c r="B112" t="s">
        <v>178</v>
      </c>
    </row>
    <row r="113" spans="1:2" x14ac:dyDescent="0.4">
      <c r="A113">
        <v>113</v>
      </c>
      <c r="B113" t="s">
        <v>179</v>
      </c>
    </row>
    <row r="114" spans="1:2" x14ac:dyDescent="0.4">
      <c r="A114">
        <v>114</v>
      </c>
      <c r="B114" t="s">
        <v>180</v>
      </c>
    </row>
    <row r="115" spans="1:2" x14ac:dyDescent="0.4">
      <c r="A115">
        <v>115</v>
      </c>
      <c r="B115" t="s">
        <v>181</v>
      </c>
    </row>
    <row r="116" spans="1:2" x14ac:dyDescent="0.4">
      <c r="A116">
        <v>116</v>
      </c>
      <c r="B116" t="s">
        <v>182</v>
      </c>
    </row>
    <row r="117" spans="1:2" x14ac:dyDescent="0.4">
      <c r="A117">
        <v>117</v>
      </c>
      <c r="B117" t="s">
        <v>183</v>
      </c>
    </row>
    <row r="118" spans="1:2" x14ac:dyDescent="0.4">
      <c r="A118">
        <v>118</v>
      </c>
      <c r="B118" t="s">
        <v>184</v>
      </c>
    </row>
    <row r="119" spans="1:2" x14ac:dyDescent="0.4">
      <c r="A119">
        <v>119</v>
      </c>
      <c r="B119" t="s">
        <v>185</v>
      </c>
    </row>
    <row r="120" spans="1:2" x14ac:dyDescent="0.4">
      <c r="A120">
        <v>120</v>
      </c>
      <c r="B120" t="s">
        <v>187</v>
      </c>
    </row>
    <row r="121" spans="1:2" x14ac:dyDescent="0.4">
      <c r="A121">
        <v>121</v>
      </c>
      <c r="B121" t="s">
        <v>188</v>
      </c>
    </row>
    <row r="122" spans="1:2" x14ac:dyDescent="0.4">
      <c r="A122">
        <v>122</v>
      </c>
      <c r="B122" t="s">
        <v>614</v>
      </c>
    </row>
    <row r="123" spans="1:2" x14ac:dyDescent="0.4">
      <c r="A123">
        <v>123</v>
      </c>
      <c r="B123" t="s">
        <v>190</v>
      </c>
    </row>
    <row r="124" spans="1:2" x14ac:dyDescent="0.4">
      <c r="A124">
        <v>124</v>
      </c>
      <c r="B124" t="s">
        <v>191</v>
      </c>
    </row>
    <row r="125" spans="1:2" x14ac:dyDescent="0.4">
      <c r="A125">
        <v>125</v>
      </c>
      <c r="B125" t="s">
        <v>192</v>
      </c>
    </row>
    <row r="126" spans="1:2" x14ac:dyDescent="0.4">
      <c r="A126">
        <v>126</v>
      </c>
      <c r="B126" t="s">
        <v>725</v>
      </c>
    </row>
    <row r="127" spans="1:2" x14ac:dyDescent="0.4">
      <c r="A127">
        <v>127</v>
      </c>
      <c r="B127" t="s">
        <v>195</v>
      </c>
    </row>
    <row r="128" spans="1:2" x14ac:dyDescent="0.4">
      <c r="A128">
        <v>128</v>
      </c>
      <c r="B128" t="s">
        <v>196</v>
      </c>
    </row>
    <row r="129" spans="1:2" x14ac:dyDescent="0.4">
      <c r="A129">
        <v>129</v>
      </c>
      <c r="B129" t="s">
        <v>198</v>
      </c>
    </row>
    <row r="130" spans="1:2" x14ac:dyDescent="0.4">
      <c r="A130">
        <v>130</v>
      </c>
      <c r="B130" t="s">
        <v>726</v>
      </c>
    </row>
    <row r="131" spans="1:2" x14ac:dyDescent="0.4">
      <c r="A131">
        <v>131</v>
      </c>
      <c r="B131" t="s">
        <v>200</v>
      </c>
    </row>
    <row r="132" spans="1:2" x14ac:dyDescent="0.4">
      <c r="A132">
        <v>132</v>
      </c>
      <c r="B132" t="s">
        <v>202</v>
      </c>
    </row>
    <row r="133" spans="1:2" x14ac:dyDescent="0.4">
      <c r="A133">
        <v>133</v>
      </c>
      <c r="B133" t="s">
        <v>203</v>
      </c>
    </row>
    <row r="134" spans="1:2" x14ac:dyDescent="0.4">
      <c r="A134">
        <v>134</v>
      </c>
      <c r="B134" t="s">
        <v>204</v>
      </c>
    </row>
    <row r="135" spans="1:2" x14ac:dyDescent="0.4">
      <c r="A135">
        <v>135</v>
      </c>
      <c r="B135" t="s">
        <v>205</v>
      </c>
    </row>
    <row r="136" spans="1:2" x14ac:dyDescent="0.4">
      <c r="A136">
        <v>136</v>
      </c>
      <c r="B136" t="s">
        <v>206</v>
      </c>
    </row>
    <row r="137" spans="1:2" x14ac:dyDescent="0.4">
      <c r="A137">
        <v>137</v>
      </c>
      <c r="B137" t="s">
        <v>207</v>
      </c>
    </row>
    <row r="138" spans="1:2" x14ac:dyDescent="0.4">
      <c r="A138">
        <v>138</v>
      </c>
      <c r="B138" t="s">
        <v>209</v>
      </c>
    </row>
    <row r="139" spans="1:2" x14ac:dyDescent="0.4">
      <c r="A139">
        <v>139</v>
      </c>
      <c r="B139" t="s">
        <v>210</v>
      </c>
    </row>
    <row r="140" spans="1:2" x14ac:dyDescent="0.4">
      <c r="A140">
        <v>140</v>
      </c>
      <c r="B140" t="s">
        <v>212</v>
      </c>
    </row>
    <row r="141" spans="1:2" x14ac:dyDescent="0.4">
      <c r="A141">
        <v>141</v>
      </c>
      <c r="B141" t="s">
        <v>213</v>
      </c>
    </row>
    <row r="142" spans="1:2" x14ac:dyDescent="0.4">
      <c r="A142">
        <v>142</v>
      </c>
      <c r="B142" t="s">
        <v>727</v>
      </c>
    </row>
    <row r="143" spans="1:2" x14ac:dyDescent="0.4">
      <c r="A143">
        <v>143</v>
      </c>
      <c r="B143" t="s">
        <v>215</v>
      </c>
    </row>
    <row r="144" spans="1:2" x14ac:dyDescent="0.4">
      <c r="A144">
        <v>144</v>
      </c>
      <c r="B144" t="s">
        <v>696</v>
      </c>
    </row>
    <row r="145" spans="1:2" x14ac:dyDescent="0.4">
      <c r="A145">
        <v>145</v>
      </c>
      <c r="B145" t="s">
        <v>217</v>
      </c>
    </row>
    <row r="146" spans="1:2" x14ac:dyDescent="0.4">
      <c r="A146">
        <v>146</v>
      </c>
      <c r="B146" t="s">
        <v>219</v>
      </c>
    </row>
    <row r="147" spans="1:2" x14ac:dyDescent="0.4">
      <c r="A147">
        <v>147</v>
      </c>
      <c r="B147" t="s">
        <v>691</v>
      </c>
    </row>
    <row r="148" spans="1:2" x14ac:dyDescent="0.4">
      <c r="A148">
        <v>148</v>
      </c>
      <c r="B148" t="s">
        <v>221</v>
      </c>
    </row>
    <row r="149" spans="1:2" x14ac:dyDescent="0.4">
      <c r="A149">
        <v>149</v>
      </c>
      <c r="B149" t="s">
        <v>222</v>
      </c>
    </row>
    <row r="150" spans="1:2" x14ac:dyDescent="0.4">
      <c r="A150">
        <v>150</v>
      </c>
      <c r="B150" t="s">
        <v>223</v>
      </c>
    </row>
    <row r="151" spans="1:2" x14ac:dyDescent="0.4">
      <c r="A151">
        <v>151</v>
      </c>
      <c r="B151" t="s">
        <v>224</v>
      </c>
    </row>
    <row r="152" spans="1:2" x14ac:dyDescent="0.4">
      <c r="A152">
        <v>152</v>
      </c>
      <c r="B152" t="s">
        <v>225</v>
      </c>
    </row>
    <row r="153" spans="1:2" x14ac:dyDescent="0.4">
      <c r="A153">
        <v>153</v>
      </c>
      <c r="B153" t="s">
        <v>226</v>
      </c>
    </row>
    <row r="154" spans="1:2" x14ac:dyDescent="0.4">
      <c r="A154">
        <v>154</v>
      </c>
      <c r="B154" t="s">
        <v>227</v>
      </c>
    </row>
    <row r="155" spans="1:2" x14ac:dyDescent="0.4">
      <c r="A155">
        <v>155</v>
      </c>
      <c r="B155" t="s">
        <v>228</v>
      </c>
    </row>
    <row r="156" spans="1:2" x14ac:dyDescent="0.4">
      <c r="A156">
        <v>156</v>
      </c>
      <c r="B156" t="s">
        <v>229</v>
      </c>
    </row>
    <row r="157" spans="1:2" x14ac:dyDescent="0.4">
      <c r="A157">
        <v>157</v>
      </c>
      <c r="B157" t="s">
        <v>230</v>
      </c>
    </row>
    <row r="158" spans="1:2" x14ac:dyDescent="0.4">
      <c r="A158">
        <v>158</v>
      </c>
      <c r="B158" t="s">
        <v>231</v>
      </c>
    </row>
    <row r="159" spans="1:2" x14ac:dyDescent="0.4">
      <c r="A159">
        <v>159</v>
      </c>
      <c r="B159" t="s">
        <v>232</v>
      </c>
    </row>
    <row r="160" spans="1:2" x14ac:dyDescent="0.4">
      <c r="A160">
        <v>160</v>
      </c>
      <c r="B160" t="s">
        <v>233</v>
      </c>
    </row>
    <row r="161" spans="1:2" x14ac:dyDescent="0.4">
      <c r="A161">
        <v>161</v>
      </c>
      <c r="B161" t="s">
        <v>234</v>
      </c>
    </row>
    <row r="162" spans="1:2" x14ac:dyDescent="0.4">
      <c r="A162">
        <v>162</v>
      </c>
      <c r="B162" t="s">
        <v>235</v>
      </c>
    </row>
    <row r="163" spans="1:2" x14ac:dyDescent="0.4">
      <c r="A163">
        <v>163</v>
      </c>
      <c r="B163" t="s">
        <v>236</v>
      </c>
    </row>
    <row r="164" spans="1:2" x14ac:dyDescent="0.4">
      <c r="A164">
        <v>164</v>
      </c>
      <c r="B164" t="s">
        <v>238</v>
      </c>
    </row>
    <row r="165" spans="1:2" x14ac:dyDescent="0.4">
      <c r="A165">
        <v>165</v>
      </c>
      <c r="B165" t="s">
        <v>239</v>
      </c>
    </row>
    <row r="166" spans="1:2" x14ac:dyDescent="0.4">
      <c r="A166">
        <v>166</v>
      </c>
      <c r="B166" t="s">
        <v>623</v>
      </c>
    </row>
    <row r="167" spans="1:2" x14ac:dyDescent="0.4">
      <c r="A167">
        <v>167</v>
      </c>
      <c r="B167" t="s">
        <v>242</v>
      </c>
    </row>
    <row r="168" spans="1:2" x14ac:dyDescent="0.4">
      <c r="A168">
        <v>168</v>
      </c>
      <c r="B168" t="s">
        <v>244</v>
      </c>
    </row>
    <row r="169" spans="1:2" x14ac:dyDescent="0.4">
      <c r="A169">
        <v>169</v>
      </c>
      <c r="B169" t="s">
        <v>245</v>
      </c>
    </row>
    <row r="170" spans="1:2" x14ac:dyDescent="0.4">
      <c r="A170">
        <v>170</v>
      </c>
      <c r="B170" t="s">
        <v>246</v>
      </c>
    </row>
    <row r="171" spans="1:2" x14ac:dyDescent="0.4">
      <c r="A171">
        <v>171</v>
      </c>
      <c r="B171" t="s">
        <v>247</v>
      </c>
    </row>
    <row r="172" spans="1:2" x14ac:dyDescent="0.4">
      <c r="A172">
        <v>172</v>
      </c>
      <c r="B172" t="s">
        <v>248</v>
      </c>
    </row>
    <row r="173" spans="1:2" x14ac:dyDescent="0.4">
      <c r="A173">
        <v>173</v>
      </c>
      <c r="B173" t="s">
        <v>249</v>
      </c>
    </row>
    <row r="174" spans="1:2" x14ac:dyDescent="0.4">
      <c r="A174">
        <v>174</v>
      </c>
      <c r="B174" t="s">
        <v>250</v>
      </c>
    </row>
    <row r="175" spans="1:2" x14ac:dyDescent="0.4">
      <c r="A175">
        <v>175</v>
      </c>
      <c r="B175" t="s">
        <v>252</v>
      </c>
    </row>
    <row r="176" spans="1:2" x14ac:dyDescent="0.4">
      <c r="A176">
        <v>176</v>
      </c>
      <c r="B176" t="s">
        <v>253</v>
      </c>
    </row>
    <row r="177" spans="1:2" x14ac:dyDescent="0.4">
      <c r="A177">
        <v>177</v>
      </c>
      <c r="B177" t="s">
        <v>254</v>
      </c>
    </row>
    <row r="178" spans="1:2" x14ac:dyDescent="0.4">
      <c r="A178">
        <v>178</v>
      </c>
      <c r="B178" t="s">
        <v>255</v>
      </c>
    </row>
    <row r="179" spans="1:2" x14ac:dyDescent="0.4">
      <c r="A179">
        <v>179</v>
      </c>
      <c r="B179" t="s">
        <v>256</v>
      </c>
    </row>
    <row r="180" spans="1:2" x14ac:dyDescent="0.4">
      <c r="A180">
        <v>180</v>
      </c>
      <c r="B180" t="s">
        <v>257</v>
      </c>
    </row>
    <row r="181" spans="1:2" x14ac:dyDescent="0.4">
      <c r="A181">
        <v>181</v>
      </c>
      <c r="B181" t="s">
        <v>258</v>
      </c>
    </row>
    <row r="182" spans="1:2" x14ac:dyDescent="0.4">
      <c r="A182">
        <v>182</v>
      </c>
      <c r="B182" t="s">
        <v>259</v>
      </c>
    </row>
    <row r="183" spans="1:2" x14ac:dyDescent="0.4">
      <c r="A183">
        <v>183</v>
      </c>
      <c r="B183" t="s">
        <v>618</v>
      </c>
    </row>
    <row r="184" spans="1:2" x14ac:dyDescent="0.4">
      <c r="A184">
        <v>184</v>
      </c>
      <c r="B184" t="s">
        <v>262</v>
      </c>
    </row>
    <row r="185" spans="1:2" x14ac:dyDescent="0.4">
      <c r="A185">
        <v>185</v>
      </c>
      <c r="B185" t="s">
        <v>263</v>
      </c>
    </row>
    <row r="186" spans="1:2" x14ac:dyDescent="0.4">
      <c r="A186">
        <v>186</v>
      </c>
      <c r="B186" t="s">
        <v>264</v>
      </c>
    </row>
    <row r="187" spans="1:2" x14ac:dyDescent="0.4">
      <c r="A187">
        <v>187</v>
      </c>
      <c r="B187" t="s">
        <v>265</v>
      </c>
    </row>
    <row r="188" spans="1:2" x14ac:dyDescent="0.4">
      <c r="A188">
        <v>188</v>
      </c>
      <c r="B188" t="s">
        <v>266</v>
      </c>
    </row>
    <row r="189" spans="1:2" x14ac:dyDescent="0.4">
      <c r="A189">
        <v>189</v>
      </c>
      <c r="B189" t="s">
        <v>267</v>
      </c>
    </row>
    <row r="190" spans="1:2" x14ac:dyDescent="0.4">
      <c r="A190">
        <v>190</v>
      </c>
      <c r="B190" t="s">
        <v>268</v>
      </c>
    </row>
    <row r="191" spans="1:2" x14ac:dyDescent="0.4">
      <c r="A191">
        <v>191</v>
      </c>
      <c r="B191" t="s">
        <v>269</v>
      </c>
    </row>
    <row r="192" spans="1:2" x14ac:dyDescent="0.4">
      <c r="A192">
        <v>192</v>
      </c>
      <c r="B192" t="s">
        <v>270</v>
      </c>
    </row>
    <row r="193" spans="1:2" x14ac:dyDescent="0.4">
      <c r="A193">
        <v>193</v>
      </c>
      <c r="B193" t="s">
        <v>271</v>
      </c>
    </row>
    <row r="194" spans="1:2" x14ac:dyDescent="0.4">
      <c r="A194">
        <v>194</v>
      </c>
      <c r="B194" t="s">
        <v>621</v>
      </c>
    </row>
    <row r="195" spans="1:2" x14ac:dyDescent="0.4">
      <c r="A195">
        <v>195</v>
      </c>
      <c r="B195" t="s">
        <v>273</v>
      </c>
    </row>
    <row r="196" spans="1:2" x14ac:dyDescent="0.4">
      <c r="A196">
        <v>196</v>
      </c>
      <c r="B196" t="s">
        <v>274</v>
      </c>
    </row>
    <row r="197" spans="1:2" x14ac:dyDescent="0.4">
      <c r="A197">
        <v>197</v>
      </c>
      <c r="B197" t="s">
        <v>275</v>
      </c>
    </row>
    <row r="198" spans="1:2" x14ac:dyDescent="0.4">
      <c r="A198">
        <v>198</v>
      </c>
      <c r="B198" t="s">
        <v>276</v>
      </c>
    </row>
    <row r="199" spans="1:2" x14ac:dyDescent="0.4">
      <c r="A199">
        <v>199</v>
      </c>
      <c r="B199" t="s">
        <v>278</v>
      </c>
    </row>
    <row r="200" spans="1:2" x14ac:dyDescent="0.4">
      <c r="A200">
        <v>200</v>
      </c>
      <c r="B200" t="s">
        <v>279</v>
      </c>
    </row>
    <row r="201" spans="1:2" x14ac:dyDescent="0.4">
      <c r="A201">
        <v>201</v>
      </c>
      <c r="B201" t="s">
        <v>280</v>
      </c>
    </row>
    <row r="202" spans="1:2" x14ac:dyDescent="0.4">
      <c r="A202">
        <v>202</v>
      </c>
      <c r="B202" t="s">
        <v>281</v>
      </c>
    </row>
    <row r="203" spans="1:2" x14ac:dyDescent="0.4">
      <c r="A203">
        <v>203</v>
      </c>
      <c r="B203" t="s">
        <v>282</v>
      </c>
    </row>
    <row r="204" spans="1:2" x14ac:dyDescent="0.4">
      <c r="A204">
        <v>204</v>
      </c>
      <c r="B204" t="s">
        <v>283</v>
      </c>
    </row>
    <row r="205" spans="1:2" x14ac:dyDescent="0.4">
      <c r="A205">
        <v>205</v>
      </c>
      <c r="B205" t="s">
        <v>284</v>
      </c>
    </row>
    <row r="206" spans="1:2" x14ac:dyDescent="0.4">
      <c r="A206">
        <v>206</v>
      </c>
      <c r="B206" t="s">
        <v>285</v>
      </c>
    </row>
    <row r="207" spans="1:2" x14ac:dyDescent="0.4">
      <c r="A207">
        <v>207</v>
      </c>
      <c r="B207" t="s">
        <v>286</v>
      </c>
    </row>
    <row r="208" spans="1:2" x14ac:dyDescent="0.4">
      <c r="A208">
        <v>208</v>
      </c>
      <c r="B208" t="s">
        <v>287</v>
      </c>
    </row>
    <row r="209" spans="1:2" x14ac:dyDescent="0.4">
      <c r="A209">
        <v>209</v>
      </c>
      <c r="B209" t="s">
        <v>289</v>
      </c>
    </row>
    <row r="210" spans="1:2" x14ac:dyDescent="0.4">
      <c r="A210">
        <v>210</v>
      </c>
      <c r="B210" t="s">
        <v>624</v>
      </c>
    </row>
    <row r="211" spans="1:2" x14ac:dyDescent="0.4">
      <c r="A211">
        <v>211</v>
      </c>
      <c r="B211" t="s">
        <v>728</v>
      </c>
    </row>
    <row r="212" spans="1:2" x14ac:dyDescent="0.4">
      <c r="A212">
        <v>212</v>
      </c>
      <c r="B212" t="s">
        <v>293</v>
      </c>
    </row>
    <row r="213" spans="1:2" x14ac:dyDescent="0.4">
      <c r="A213">
        <v>213</v>
      </c>
      <c r="B213" t="s">
        <v>294</v>
      </c>
    </row>
    <row r="214" spans="1:2" x14ac:dyDescent="0.4">
      <c r="A214">
        <v>214</v>
      </c>
      <c r="B214" t="s">
        <v>712</v>
      </c>
    </row>
    <row r="215" spans="1:2" x14ac:dyDescent="0.4">
      <c r="A215">
        <v>215</v>
      </c>
      <c r="B215" t="s">
        <v>296</v>
      </c>
    </row>
    <row r="216" spans="1:2" x14ac:dyDescent="0.4">
      <c r="A216">
        <v>216</v>
      </c>
      <c r="B216" t="s">
        <v>297</v>
      </c>
    </row>
    <row r="217" spans="1:2" x14ac:dyDescent="0.4">
      <c r="A217">
        <v>217</v>
      </c>
      <c r="B217" t="s">
        <v>298</v>
      </c>
    </row>
    <row r="218" spans="1:2" x14ac:dyDescent="0.4">
      <c r="A218">
        <v>218</v>
      </c>
      <c r="B218" t="s">
        <v>299</v>
      </c>
    </row>
    <row r="219" spans="1:2" x14ac:dyDescent="0.4">
      <c r="A219">
        <v>219</v>
      </c>
      <c r="B219" t="s">
        <v>300</v>
      </c>
    </row>
    <row r="220" spans="1:2" x14ac:dyDescent="0.4">
      <c r="A220">
        <v>220</v>
      </c>
      <c r="B220" t="s">
        <v>619</v>
      </c>
    </row>
    <row r="221" spans="1:2" x14ac:dyDescent="0.4">
      <c r="A221">
        <v>221</v>
      </c>
      <c r="B221" t="s">
        <v>302</v>
      </c>
    </row>
    <row r="222" spans="1:2" x14ac:dyDescent="0.4">
      <c r="A222">
        <v>222</v>
      </c>
      <c r="B222" t="s">
        <v>303</v>
      </c>
    </row>
    <row r="223" spans="1:2" x14ac:dyDescent="0.4">
      <c r="A223">
        <v>223</v>
      </c>
      <c r="B223" t="s">
        <v>304</v>
      </c>
    </row>
    <row r="224" spans="1:2" x14ac:dyDescent="0.4">
      <c r="A224">
        <v>224</v>
      </c>
      <c r="B224" t="s">
        <v>305</v>
      </c>
    </row>
    <row r="225" spans="1:2" x14ac:dyDescent="0.4">
      <c r="A225">
        <v>225</v>
      </c>
      <c r="B225" t="s">
        <v>306</v>
      </c>
    </row>
    <row r="226" spans="1:2" x14ac:dyDescent="0.4">
      <c r="A226">
        <v>226</v>
      </c>
      <c r="B226" t="s">
        <v>307</v>
      </c>
    </row>
    <row r="227" spans="1:2" x14ac:dyDescent="0.4">
      <c r="A227">
        <v>227</v>
      </c>
      <c r="B227" t="s">
        <v>308</v>
      </c>
    </row>
    <row r="228" spans="1:2" x14ac:dyDescent="0.4">
      <c r="A228">
        <v>228</v>
      </c>
      <c r="B228" t="s">
        <v>309</v>
      </c>
    </row>
    <row r="229" spans="1:2" x14ac:dyDescent="0.4">
      <c r="A229">
        <v>229</v>
      </c>
      <c r="B229" t="s">
        <v>310</v>
      </c>
    </row>
    <row r="230" spans="1:2" x14ac:dyDescent="0.4">
      <c r="A230">
        <v>230</v>
      </c>
      <c r="B230" t="s">
        <v>729</v>
      </c>
    </row>
    <row r="231" spans="1:2" x14ac:dyDescent="0.4">
      <c r="A231">
        <v>231</v>
      </c>
      <c r="B231" t="s">
        <v>312</v>
      </c>
    </row>
    <row r="232" spans="1:2" x14ac:dyDescent="0.4">
      <c r="A232">
        <v>232</v>
      </c>
      <c r="B232" t="s">
        <v>313</v>
      </c>
    </row>
    <row r="233" spans="1:2" x14ac:dyDescent="0.4">
      <c r="A233">
        <v>233</v>
      </c>
      <c r="B233" t="s">
        <v>314</v>
      </c>
    </row>
    <row r="234" spans="1:2" x14ac:dyDescent="0.4">
      <c r="A234">
        <v>234</v>
      </c>
      <c r="B234" t="s">
        <v>315</v>
      </c>
    </row>
    <row r="235" spans="1:2" x14ac:dyDescent="0.4">
      <c r="A235">
        <v>235</v>
      </c>
      <c r="B235" t="s">
        <v>316</v>
      </c>
    </row>
    <row r="236" spans="1:2" x14ac:dyDescent="0.4">
      <c r="A236">
        <v>236</v>
      </c>
      <c r="B236" t="s">
        <v>317</v>
      </c>
    </row>
    <row r="237" spans="1:2" x14ac:dyDescent="0.4">
      <c r="A237">
        <v>237</v>
      </c>
      <c r="B237" t="s">
        <v>318</v>
      </c>
    </row>
    <row r="238" spans="1:2" x14ac:dyDescent="0.4">
      <c r="A238">
        <v>238</v>
      </c>
      <c r="B238" t="s">
        <v>319</v>
      </c>
    </row>
    <row r="239" spans="1:2" x14ac:dyDescent="0.4">
      <c r="A239">
        <v>239</v>
      </c>
      <c r="B239" t="s">
        <v>320</v>
      </c>
    </row>
    <row r="240" spans="1:2" x14ac:dyDescent="0.4">
      <c r="A240">
        <v>240</v>
      </c>
      <c r="B240" t="s">
        <v>321</v>
      </c>
    </row>
    <row r="241" spans="1:2" x14ac:dyDescent="0.4">
      <c r="A241">
        <v>241</v>
      </c>
      <c r="B241" t="s">
        <v>322</v>
      </c>
    </row>
    <row r="242" spans="1:2" x14ac:dyDescent="0.4">
      <c r="A242">
        <v>242</v>
      </c>
      <c r="B242" t="s">
        <v>323</v>
      </c>
    </row>
    <row r="243" spans="1:2" x14ac:dyDescent="0.4">
      <c r="A243">
        <v>243</v>
      </c>
      <c r="B243" t="s">
        <v>324</v>
      </c>
    </row>
    <row r="244" spans="1:2" x14ac:dyDescent="0.4">
      <c r="A244">
        <v>244</v>
      </c>
      <c r="B244" t="s">
        <v>325</v>
      </c>
    </row>
    <row r="245" spans="1:2" x14ac:dyDescent="0.4">
      <c r="A245">
        <v>245</v>
      </c>
      <c r="B245" t="s">
        <v>326</v>
      </c>
    </row>
    <row r="246" spans="1:2" x14ac:dyDescent="0.4">
      <c r="A246">
        <v>246</v>
      </c>
      <c r="B246" t="s">
        <v>327</v>
      </c>
    </row>
    <row r="247" spans="1:2" x14ac:dyDescent="0.4">
      <c r="A247">
        <v>247</v>
      </c>
      <c r="B247" t="s">
        <v>328</v>
      </c>
    </row>
    <row r="248" spans="1:2" x14ac:dyDescent="0.4">
      <c r="A248">
        <v>248</v>
      </c>
      <c r="B248" t="s">
        <v>329</v>
      </c>
    </row>
    <row r="249" spans="1:2" x14ac:dyDescent="0.4">
      <c r="A249">
        <v>249</v>
      </c>
      <c r="B249" t="s">
        <v>330</v>
      </c>
    </row>
    <row r="250" spans="1:2" x14ac:dyDescent="0.4">
      <c r="A250">
        <v>250</v>
      </c>
      <c r="B250" t="s">
        <v>331</v>
      </c>
    </row>
    <row r="251" spans="1:2" x14ac:dyDescent="0.4">
      <c r="A251">
        <v>251</v>
      </c>
      <c r="B251" t="s">
        <v>332</v>
      </c>
    </row>
    <row r="252" spans="1:2" x14ac:dyDescent="0.4">
      <c r="A252">
        <v>252</v>
      </c>
      <c r="B252" t="s">
        <v>333</v>
      </c>
    </row>
    <row r="253" spans="1:2" x14ac:dyDescent="0.4">
      <c r="A253">
        <v>253</v>
      </c>
      <c r="B253" t="s">
        <v>334</v>
      </c>
    </row>
    <row r="254" spans="1:2" x14ac:dyDescent="0.4">
      <c r="A254">
        <v>254</v>
      </c>
      <c r="B254" t="s">
        <v>335</v>
      </c>
    </row>
    <row r="255" spans="1:2" x14ac:dyDescent="0.4">
      <c r="A255">
        <v>255</v>
      </c>
      <c r="B255" t="s">
        <v>336</v>
      </c>
    </row>
    <row r="256" spans="1:2" x14ac:dyDescent="0.4">
      <c r="A256">
        <v>256</v>
      </c>
      <c r="B256" t="s">
        <v>337</v>
      </c>
    </row>
    <row r="257" spans="1:2" x14ac:dyDescent="0.4">
      <c r="A257">
        <v>257</v>
      </c>
      <c r="B257" t="s">
        <v>338</v>
      </c>
    </row>
    <row r="258" spans="1:2" x14ac:dyDescent="0.4">
      <c r="A258">
        <v>258</v>
      </c>
      <c r="B258" t="s">
        <v>339</v>
      </c>
    </row>
    <row r="259" spans="1:2" x14ac:dyDescent="0.4">
      <c r="A259">
        <v>259</v>
      </c>
      <c r="B259" t="s">
        <v>730</v>
      </c>
    </row>
    <row r="260" spans="1:2" x14ac:dyDescent="0.4">
      <c r="A260">
        <v>260</v>
      </c>
      <c r="B260" t="s">
        <v>341</v>
      </c>
    </row>
    <row r="261" spans="1:2" x14ac:dyDescent="0.4">
      <c r="A261">
        <v>261</v>
      </c>
      <c r="B261" t="s">
        <v>342</v>
      </c>
    </row>
    <row r="262" spans="1:2" x14ac:dyDescent="0.4">
      <c r="A262">
        <v>262</v>
      </c>
      <c r="B262" t="s">
        <v>343</v>
      </c>
    </row>
    <row r="263" spans="1:2" x14ac:dyDescent="0.4">
      <c r="A263">
        <v>263</v>
      </c>
      <c r="B263" t="s">
        <v>344</v>
      </c>
    </row>
    <row r="264" spans="1:2" x14ac:dyDescent="0.4">
      <c r="A264">
        <v>264</v>
      </c>
    </row>
    <row r="265" spans="1:2" x14ac:dyDescent="0.4">
      <c r="A265">
        <v>265</v>
      </c>
    </row>
    <row r="266" spans="1:2" x14ac:dyDescent="0.4">
      <c r="A266">
        <v>266</v>
      </c>
      <c r="B266" t="s">
        <v>345</v>
      </c>
    </row>
    <row r="267" spans="1:2" x14ac:dyDescent="0.4">
      <c r="A267">
        <v>267</v>
      </c>
      <c r="B267" t="s">
        <v>346</v>
      </c>
    </row>
    <row r="268" spans="1:2" x14ac:dyDescent="0.4">
      <c r="A268">
        <v>268</v>
      </c>
      <c r="B268" t="s">
        <v>700</v>
      </c>
    </row>
    <row r="269" spans="1:2" x14ac:dyDescent="0.4">
      <c r="A269">
        <v>269</v>
      </c>
      <c r="B269" t="s">
        <v>348</v>
      </c>
    </row>
    <row r="270" spans="1:2" x14ac:dyDescent="0.4">
      <c r="A270">
        <v>270</v>
      </c>
      <c r="B270" t="s">
        <v>349</v>
      </c>
    </row>
    <row r="271" spans="1:2" x14ac:dyDescent="0.4">
      <c r="A271">
        <v>271</v>
      </c>
      <c r="B271" t="s">
        <v>350</v>
      </c>
    </row>
    <row r="272" spans="1:2" x14ac:dyDescent="0.4">
      <c r="A272">
        <v>272</v>
      </c>
      <c r="B272" t="s">
        <v>351</v>
      </c>
    </row>
    <row r="273" spans="1:2" x14ac:dyDescent="0.4">
      <c r="A273">
        <v>273</v>
      </c>
      <c r="B273" t="s">
        <v>352</v>
      </c>
    </row>
    <row r="274" spans="1:2" x14ac:dyDescent="0.4">
      <c r="A274">
        <v>274</v>
      </c>
      <c r="B274" t="s">
        <v>353</v>
      </c>
    </row>
    <row r="275" spans="1:2" x14ac:dyDescent="0.4">
      <c r="A275">
        <v>275</v>
      </c>
      <c r="B275" t="s">
        <v>620</v>
      </c>
    </row>
    <row r="276" spans="1:2" x14ac:dyDescent="0.4">
      <c r="A276">
        <v>276</v>
      </c>
      <c r="B276" t="s">
        <v>355</v>
      </c>
    </row>
    <row r="277" spans="1:2" x14ac:dyDescent="0.4">
      <c r="A277">
        <v>277</v>
      </c>
      <c r="B277" t="s">
        <v>356</v>
      </c>
    </row>
    <row r="278" spans="1:2" x14ac:dyDescent="0.4">
      <c r="A278">
        <v>278</v>
      </c>
      <c r="B278" t="s">
        <v>622</v>
      </c>
    </row>
    <row r="279" spans="1:2" x14ac:dyDescent="0.4">
      <c r="A279">
        <v>279</v>
      </c>
      <c r="B279" t="s">
        <v>699</v>
      </c>
    </row>
    <row r="280" spans="1:2" x14ac:dyDescent="0.4">
      <c r="A280">
        <v>280</v>
      </c>
      <c r="B280" t="s">
        <v>359</v>
      </c>
    </row>
    <row r="281" spans="1:2" x14ac:dyDescent="0.4">
      <c r="A281">
        <v>281</v>
      </c>
      <c r="B281" t="s">
        <v>360</v>
      </c>
    </row>
    <row r="282" spans="1:2" x14ac:dyDescent="0.4">
      <c r="A282">
        <v>282</v>
      </c>
      <c r="B282" t="s">
        <v>361</v>
      </c>
    </row>
    <row r="283" spans="1:2" x14ac:dyDescent="0.4">
      <c r="A283">
        <v>283</v>
      </c>
      <c r="B283" t="s">
        <v>362</v>
      </c>
    </row>
    <row r="284" spans="1:2" x14ac:dyDescent="0.4">
      <c r="A284">
        <v>284</v>
      </c>
      <c r="B284" t="s">
        <v>363</v>
      </c>
    </row>
    <row r="285" spans="1:2" x14ac:dyDescent="0.4">
      <c r="A285">
        <v>285</v>
      </c>
      <c r="B285" t="s">
        <v>364</v>
      </c>
    </row>
    <row r="286" spans="1:2" x14ac:dyDescent="0.4">
      <c r="A286">
        <v>286</v>
      </c>
      <c r="B286" t="s">
        <v>365</v>
      </c>
    </row>
    <row r="287" spans="1:2" x14ac:dyDescent="0.4">
      <c r="A287">
        <v>287</v>
      </c>
      <c r="B287" t="s">
        <v>366</v>
      </c>
    </row>
    <row r="288" spans="1:2" x14ac:dyDescent="0.4">
      <c r="A288">
        <v>288</v>
      </c>
      <c r="B288" t="s">
        <v>367</v>
      </c>
    </row>
    <row r="289" spans="1:2" x14ac:dyDescent="0.4">
      <c r="A289">
        <v>289</v>
      </c>
      <c r="B289" t="s">
        <v>368</v>
      </c>
    </row>
    <row r="290" spans="1:2" x14ac:dyDescent="0.4">
      <c r="A290">
        <v>290</v>
      </c>
      <c r="B290" t="s">
        <v>369</v>
      </c>
    </row>
    <row r="291" spans="1:2" x14ac:dyDescent="0.4">
      <c r="A291">
        <v>291</v>
      </c>
      <c r="B291" t="s">
        <v>370</v>
      </c>
    </row>
    <row r="292" spans="1:2" x14ac:dyDescent="0.4">
      <c r="A292">
        <v>292</v>
      </c>
      <c r="B292" t="s">
        <v>731</v>
      </c>
    </row>
    <row r="293" spans="1:2" x14ac:dyDescent="0.4">
      <c r="A293">
        <v>293</v>
      </c>
      <c r="B293" t="s">
        <v>372</v>
      </c>
    </row>
    <row r="294" spans="1:2" x14ac:dyDescent="0.4">
      <c r="A294">
        <v>294</v>
      </c>
      <c r="B294" t="s">
        <v>373</v>
      </c>
    </row>
    <row r="295" spans="1:2" x14ac:dyDescent="0.4">
      <c r="A295">
        <v>295</v>
      </c>
      <c r="B295" t="s">
        <v>615</v>
      </c>
    </row>
    <row r="296" spans="1:2" x14ac:dyDescent="0.4">
      <c r="A296">
        <v>296</v>
      </c>
      <c r="B296" t="s">
        <v>616</v>
      </c>
    </row>
    <row r="297" spans="1:2" x14ac:dyDescent="0.4">
      <c r="A297">
        <v>297</v>
      </c>
      <c r="B297" t="s">
        <v>376</v>
      </c>
    </row>
    <row r="298" spans="1:2" x14ac:dyDescent="0.4">
      <c r="A298">
        <v>298</v>
      </c>
      <c r="B298" t="s">
        <v>377</v>
      </c>
    </row>
    <row r="299" spans="1:2" x14ac:dyDescent="0.4">
      <c r="A299">
        <v>299</v>
      </c>
      <c r="B299" t="s">
        <v>702</v>
      </c>
    </row>
    <row r="300" spans="1:2" x14ac:dyDescent="0.4">
      <c r="A300">
        <v>300</v>
      </c>
      <c r="B300" t="s">
        <v>703</v>
      </c>
    </row>
    <row r="301" spans="1:2" x14ac:dyDescent="0.4">
      <c r="A301">
        <v>301</v>
      </c>
      <c r="B301" t="s">
        <v>380</v>
      </c>
    </row>
    <row r="302" spans="1:2" x14ac:dyDescent="0.4">
      <c r="A302">
        <v>302</v>
      </c>
      <c r="B302" t="s">
        <v>732</v>
      </c>
    </row>
    <row r="303" spans="1:2" x14ac:dyDescent="0.4">
      <c r="A303">
        <v>303</v>
      </c>
      <c r="B303" t="s">
        <v>617</v>
      </c>
    </row>
    <row r="304" spans="1:2" x14ac:dyDescent="0.4">
      <c r="A304">
        <v>304</v>
      </c>
      <c r="B304" t="s">
        <v>383</v>
      </c>
    </row>
    <row r="305" spans="1:2" x14ac:dyDescent="0.4">
      <c r="A305">
        <v>305</v>
      </c>
      <c r="B305" t="s">
        <v>384</v>
      </c>
    </row>
    <row r="306" spans="1:2" x14ac:dyDescent="0.4">
      <c r="A306">
        <v>306</v>
      </c>
      <c r="B306" t="s">
        <v>733</v>
      </c>
    </row>
    <row r="307" spans="1:2" x14ac:dyDescent="0.4">
      <c r="A307">
        <v>307</v>
      </c>
      <c r="B307" t="s">
        <v>386</v>
      </c>
    </row>
    <row r="308" spans="1:2" x14ac:dyDescent="0.4">
      <c r="A308">
        <v>308</v>
      </c>
      <c r="B308" t="s">
        <v>690</v>
      </c>
    </row>
    <row r="309" spans="1:2" x14ac:dyDescent="0.4">
      <c r="A309">
        <v>309</v>
      </c>
      <c r="B309" t="s">
        <v>388</v>
      </c>
    </row>
    <row r="310" spans="1:2" x14ac:dyDescent="0.4">
      <c r="A310">
        <v>310</v>
      </c>
      <c r="B310" t="s">
        <v>389</v>
      </c>
    </row>
    <row r="311" spans="1:2" x14ac:dyDescent="0.4">
      <c r="A311">
        <v>311</v>
      </c>
      <c r="B311" t="s">
        <v>391</v>
      </c>
    </row>
    <row r="312" spans="1:2" x14ac:dyDescent="0.4">
      <c r="A312">
        <v>312</v>
      </c>
      <c r="B312" t="s">
        <v>392</v>
      </c>
    </row>
    <row r="313" spans="1:2" x14ac:dyDescent="0.4">
      <c r="A313">
        <v>313</v>
      </c>
      <c r="B313" t="s">
        <v>689</v>
      </c>
    </row>
    <row r="314" spans="1:2" x14ac:dyDescent="0.4">
      <c r="A314">
        <v>314</v>
      </c>
      <c r="B314" t="s">
        <v>394</v>
      </c>
    </row>
    <row r="315" spans="1:2" x14ac:dyDescent="0.4">
      <c r="A315">
        <v>315</v>
      </c>
      <c r="B315" t="s">
        <v>395</v>
      </c>
    </row>
    <row r="316" spans="1:2" x14ac:dyDescent="0.4">
      <c r="A316">
        <v>316</v>
      </c>
      <c r="B316" t="s">
        <v>396</v>
      </c>
    </row>
    <row r="317" spans="1:2" x14ac:dyDescent="0.4">
      <c r="A317">
        <v>317</v>
      </c>
      <c r="B317" t="s">
        <v>397</v>
      </c>
    </row>
    <row r="318" spans="1:2" x14ac:dyDescent="0.4">
      <c r="A318">
        <v>318</v>
      </c>
      <c r="B318" t="s">
        <v>398</v>
      </c>
    </row>
    <row r="319" spans="1:2" x14ac:dyDescent="0.4">
      <c r="A319">
        <v>319</v>
      </c>
      <c r="B319" t="s">
        <v>734</v>
      </c>
    </row>
    <row r="320" spans="1:2" x14ac:dyDescent="0.4">
      <c r="A320">
        <v>320</v>
      </c>
      <c r="B320" t="s">
        <v>400</v>
      </c>
    </row>
    <row r="321" spans="1:2" x14ac:dyDescent="0.4">
      <c r="A321">
        <v>321</v>
      </c>
    </row>
    <row r="322" spans="1:2" x14ac:dyDescent="0.4">
      <c r="A322">
        <v>322</v>
      </c>
      <c r="B322" t="s">
        <v>401</v>
      </c>
    </row>
    <row r="323" spans="1:2" x14ac:dyDescent="0.4">
      <c r="A323">
        <v>323</v>
      </c>
      <c r="B323" t="s">
        <v>735</v>
      </c>
    </row>
    <row r="324" spans="1:2" x14ac:dyDescent="0.4">
      <c r="A324">
        <v>324</v>
      </c>
      <c r="B324" t="s">
        <v>404</v>
      </c>
    </row>
    <row r="325" spans="1:2" x14ac:dyDescent="0.4">
      <c r="A325">
        <v>325</v>
      </c>
      <c r="B325" t="s">
        <v>405</v>
      </c>
    </row>
    <row r="326" spans="1:2" x14ac:dyDescent="0.4">
      <c r="A326">
        <v>326</v>
      </c>
      <c r="B326" t="s">
        <v>406</v>
      </c>
    </row>
    <row r="327" spans="1:2" x14ac:dyDescent="0.4">
      <c r="A327">
        <v>327</v>
      </c>
      <c r="B327" t="s">
        <v>407</v>
      </c>
    </row>
    <row r="328" spans="1:2" x14ac:dyDescent="0.4">
      <c r="A328">
        <v>328</v>
      </c>
      <c r="B328" t="s">
        <v>408</v>
      </c>
    </row>
    <row r="329" spans="1:2" x14ac:dyDescent="0.4">
      <c r="A329">
        <v>329</v>
      </c>
      <c r="B329" t="s">
        <v>409</v>
      </c>
    </row>
    <row r="330" spans="1:2" x14ac:dyDescent="0.4">
      <c r="A330">
        <v>330</v>
      </c>
      <c r="B330" t="s">
        <v>410</v>
      </c>
    </row>
    <row r="331" spans="1:2" x14ac:dyDescent="0.4">
      <c r="A331">
        <v>331</v>
      </c>
      <c r="B331" t="s">
        <v>411</v>
      </c>
    </row>
    <row r="332" spans="1:2" x14ac:dyDescent="0.4">
      <c r="A332">
        <v>332</v>
      </c>
      <c r="B332" t="s">
        <v>412</v>
      </c>
    </row>
    <row r="333" spans="1:2" x14ac:dyDescent="0.4">
      <c r="A333">
        <v>333</v>
      </c>
      <c r="B333" t="s">
        <v>413</v>
      </c>
    </row>
    <row r="334" spans="1:2" x14ac:dyDescent="0.4">
      <c r="A334">
        <v>334</v>
      </c>
      <c r="B334" t="s">
        <v>736</v>
      </c>
    </row>
    <row r="335" spans="1:2" x14ac:dyDescent="0.4">
      <c r="A335">
        <v>335</v>
      </c>
      <c r="B335" t="s">
        <v>415</v>
      </c>
    </row>
    <row r="336" spans="1:2" x14ac:dyDescent="0.4">
      <c r="A336">
        <v>336</v>
      </c>
      <c r="B336" t="s">
        <v>416</v>
      </c>
    </row>
    <row r="337" spans="1:2" x14ac:dyDescent="0.4">
      <c r="A337">
        <v>337</v>
      </c>
    </row>
    <row r="338" spans="1:2" x14ac:dyDescent="0.4">
      <c r="A338">
        <v>338</v>
      </c>
      <c r="B338" t="s">
        <v>418</v>
      </c>
    </row>
    <row r="339" spans="1:2" x14ac:dyDescent="0.4">
      <c r="A339">
        <v>339</v>
      </c>
      <c r="B339" t="s">
        <v>737</v>
      </c>
    </row>
    <row r="340" spans="1:2" x14ac:dyDescent="0.4">
      <c r="A340">
        <v>340</v>
      </c>
      <c r="B340" t="s">
        <v>738</v>
      </c>
    </row>
    <row r="341" spans="1:2" x14ac:dyDescent="0.4">
      <c r="A341">
        <v>341</v>
      </c>
      <c r="B341" t="s">
        <v>739</v>
      </c>
    </row>
    <row r="342" spans="1:2" x14ac:dyDescent="0.4">
      <c r="A342">
        <v>342</v>
      </c>
      <c r="B342" t="s">
        <v>422</v>
      </c>
    </row>
    <row r="343" spans="1:2" x14ac:dyDescent="0.4">
      <c r="A343">
        <v>343</v>
      </c>
      <c r="B343" t="s">
        <v>740</v>
      </c>
    </row>
    <row r="344" spans="1:2" x14ac:dyDescent="0.4">
      <c r="A344">
        <v>344</v>
      </c>
      <c r="B344" t="s">
        <v>424</v>
      </c>
    </row>
    <row r="345" spans="1:2" x14ac:dyDescent="0.4">
      <c r="A345">
        <v>345</v>
      </c>
      <c r="B345" t="s">
        <v>425</v>
      </c>
    </row>
    <row r="346" spans="1:2" x14ac:dyDescent="0.4">
      <c r="A346">
        <v>346</v>
      </c>
      <c r="B346" t="s">
        <v>426</v>
      </c>
    </row>
    <row r="347" spans="1:2" x14ac:dyDescent="0.4">
      <c r="A347">
        <v>347</v>
      </c>
      <c r="B347" t="s">
        <v>427</v>
      </c>
    </row>
    <row r="348" spans="1:2" x14ac:dyDescent="0.4">
      <c r="A348">
        <v>348</v>
      </c>
      <c r="B348" t="s">
        <v>428</v>
      </c>
    </row>
    <row r="349" spans="1:2" x14ac:dyDescent="0.4">
      <c r="A349">
        <v>349</v>
      </c>
      <c r="B349" t="s">
        <v>429</v>
      </c>
    </row>
    <row r="350" spans="1:2" x14ac:dyDescent="0.4">
      <c r="A350">
        <v>350</v>
      </c>
      <c r="B350" t="s">
        <v>430</v>
      </c>
    </row>
    <row r="351" spans="1:2" x14ac:dyDescent="0.4">
      <c r="A351">
        <v>351</v>
      </c>
      <c r="B351" t="s">
        <v>431</v>
      </c>
    </row>
    <row r="352" spans="1:2" x14ac:dyDescent="0.4">
      <c r="A352">
        <v>352</v>
      </c>
      <c r="B352" t="s">
        <v>432</v>
      </c>
    </row>
    <row r="353" spans="1:2" x14ac:dyDescent="0.4">
      <c r="A353">
        <v>353</v>
      </c>
      <c r="B353" t="s">
        <v>433</v>
      </c>
    </row>
    <row r="354" spans="1:2" x14ac:dyDescent="0.4">
      <c r="A354">
        <v>354</v>
      </c>
      <c r="B354" t="s">
        <v>434</v>
      </c>
    </row>
    <row r="355" spans="1:2" x14ac:dyDescent="0.4">
      <c r="A355">
        <v>355</v>
      </c>
      <c r="B355" t="s">
        <v>435</v>
      </c>
    </row>
    <row r="356" spans="1:2" x14ac:dyDescent="0.4">
      <c r="A356">
        <v>356</v>
      </c>
      <c r="B356" t="s">
        <v>436</v>
      </c>
    </row>
    <row r="357" spans="1:2" x14ac:dyDescent="0.4">
      <c r="A357">
        <v>357</v>
      </c>
      <c r="B357" t="s">
        <v>437</v>
      </c>
    </row>
    <row r="358" spans="1:2" x14ac:dyDescent="0.4">
      <c r="A358">
        <v>358</v>
      </c>
      <c r="B358" t="s">
        <v>438</v>
      </c>
    </row>
    <row r="359" spans="1:2" x14ac:dyDescent="0.4">
      <c r="A359">
        <v>359</v>
      </c>
      <c r="B359" t="s">
        <v>439</v>
      </c>
    </row>
    <row r="360" spans="1:2" x14ac:dyDescent="0.4">
      <c r="A360">
        <v>360</v>
      </c>
      <c r="B360" t="s">
        <v>440</v>
      </c>
    </row>
    <row r="361" spans="1:2" x14ac:dyDescent="0.4">
      <c r="A361">
        <v>361</v>
      </c>
      <c r="B361" t="s">
        <v>694</v>
      </c>
    </row>
    <row r="362" spans="1:2" x14ac:dyDescent="0.4">
      <c r="A362">
        <v>362</v>
      </c>
      <c r="B362" t="s">
        <v>442</v>
      </c>
    </row>
    <row r="363" spans="1:2" x14ac:dyDescent="0.4">
      <c r="A363">
        <v>363</v>
      </c>
      <c r="B363" t="s">
        <v>701</v>
      </c>
    </row>
    <row r="364" spans="1:2" x14ac:dyDescent="0.4">
      <c r="A364">
        <v>364</v>
      </c>
      <c r="B364" t="s">
        <v>444</v>
      </c>
    </row>
    <row r="365" spans="1:2" x14ac:dyDescent="0.4">
      <c r="A365">
        <v>365</v>
      </c>
      <c r="B365" t="s">
        <v>445</v>
      </c>
    </row>
    <row r="366" spans="1:2" x14ac:dyDescent="0.4">
      <c r="A366">
        <v>366</v>
      </c>
      <c r="B366" t="s">
        <v>446</v>
      </c>
    </row>
    <row r="367" spans="1:2" x14ac:dyDescent="0.4">
      <c r="A367">
        <v>367</v>
      </c>
      <c r="B367" t="s">
        <v>447</v>
      </c>
    </row>
    <row r="368" spans="1:2" x14ac:dyDescent="0.4">
      <c r="A368">
        <v>368</v>
      </c>
      <c r="B368" t="s">
        <v>448</v>
      </c>
    </row>
    <row r="369" spans="1:2" x14ac:dyDescent="0.4">
      <c r="A369">
        <v>369</v>
      </c>
      <c r="B369" t="s">
        <v>741</v>
      </c>
    </row>
    <row r="370" spans="1:2" x14ac:dyDescent="0.4">
      <c r="A370">
        <v>370</v>
      </c>
      <c r="B370" t="s">
        <v>450</v>
      </c>
    </row>
    <row r="371" spans="1:2" x14ac:dyDescent="0.4">
      <c r="A371">
        <v>371</v>
      </c>
      <c r="B371" t="s">
        <v>451</v>
      </c>
    </row>
    <row r="372" spans="1:2" x14ac:dyDescent="0.4">
      <c r="A372">
        <v>372</v>
      </c>
      <c r="B372" t="s">
        <v>452</v>
      </c>
    </row>
    <row r="373" spans="1:2" x14ac:dyDescent="0.4">
      <c r="A373">
        <v>373</v>
      </c>
      <c r="B373" t="s">
        <v>453</v>
      </c>
    </row>
    <row r="374" spans="1:2" x14ac:dyDescent="0.4">
      <c r="A374">
        <v>374</v>
      </c>
      <c r="B374" t="s">
        <v>697</v>
      </c>
    </row>
    <row r="375" spans="1:2" x14ac:dyDescent="0.4">
      <c r="A375">
        <v>375</v>
      </c>
      <c r="B375" t="s">
        <v>455</v>
      </c>
    </row>
    <row r="376" spans="1:2" x14ac:dyDescent="0.4">
      <c r="A376">
        <v>376</v>
      </c>
      <c r="B376" t="s">
        <v>456</v>
      </c>
    </row>
    <row r="377" spans="1:2" x14ac:dyDescent="0.4">
      <c r="A377">
        <v>377</v>
      </c>
      <c r="B377" t="s">
        <v>457</v>
      </c>
    </row>
    <row r="378" spans="1:2" x14ac:dyDescent="0.4">
      <c r="A378">
        <v>378</v>
      </c>
      <c r="B378" t="s">
        <v>458</v>
      </c>
    </row>
    <row r="379" spans="1:2" x14ac:dyDescent="0.4">
      <c r="A379">
        <v>379</v>
      </c>
      <c r="B379" t="s">
        <v>459</v>
      </c>
    </row>
    <row r="380" spans="1:2" x14ac:dyDescent="0.4">
      <c r="A380">
        <v>380</v>
      </c>
      <c r="B380" t="s">
        <v>460</v>
      </c>
    </row>
    <row r="381" spans="1:2" x14ac:dyDescent="0.4">
      <c r="A381">
        <v>381</v>
      </c>
      <c r="B381" t="s">
        <v>461</v>
      </c>
    </row>
    <row r="382" spans="1:2" x14ac:dyDescent="0.4">
      <c r="A382">
        <v>382</v>
      </c>
      <c r="B382" t="s">
        <v>462</v>
      </c>
    </row>
    <row r="383" spans="1:2" x14ac:dyDescent="0.4">
      <c r="A383">
        <v>383</v>
      </c>
      <c r="B383" t="s">
        <v>463</v>
      </c>
    </row>
    <row r="384" spans="1:2" x14ac:dyDescent="0.4">
      <c r="A384">
        <v>384</v>
      </c>
      <c r="B384" t="s">
        <v>698</v>
      </c>
    </row>
    <row r="385" spans="1:2" x14ac:dyDescent="0.4">
      <c r="A385">
        <v>385</v>
      </c>
      <c r="B385" t="s">
        <v>465</v>
      </c>
    </row>
    <row r="386" spans="1:2" x14ac:dyDescent="0.4">
      <c r="A386">
        <v>386</v>
      </c>
      <c r="B386" t="s">
        <v>466</v>
      </c>
    </row>
    <row r="387" spans="1:2" x14ac:dyDescent="0.4">
      <c r="A387">
        <v>387</v>
      </c>
      <c r="B387" t="s">
        <v>467</v>
      </c>
    </row>
    <row r="388" spans="1:2" x14ac:dyDescent="0.4">
      <c r="A388">
        <v>388</v>
      </c>
      <c r="B388" t="s">
        <v>468</v>
      </c>
    </row>
    <row r="389" spans="1:2" x14ac:dyDescent="0.4">
      <c r="A389">
        <v>389</v>
      </c>
      <c r="B389" t="s">
        <v>742</v>
      </c>
    </row>
    <row r="390" spans="1:2" x14ac:dyDescent="0.4">
      <c r="A390">
        <v>390</v>
      </c>
      <c r="B390" t="s">
        <v>695</v>
      </c>
    </row>
    <row r="391" spans="1:2" x14ac:dyDescent="0.4">
      <c r="A391">
        <v>391</v>
      </c>
      <c r="B391" t="s">
        <v>471</v>
      </c>
    </row>
    <row r="392" spans="1:2" x14ac:dyDescent="0.4">
      <c r="A392">
        <v>392</v>
      </c>
      <c r="B392" t="s">
        <v>472</v>
      </c>
    </row>
    <row r="393" spans="1:2" x14ac:dyDescent="0.4">
      <c r="A393">
        <v>393</v>
      </c>
      <c r="B393" t="s">
        <v>692</v>
      </c>
    </row>
    <row r="394" spans="1:2" x14ac:dyDescent="0.4">
      <c r="A394">
        <v>394</v>
      </c>
      <c r="B394" t="s">
        <v>693</v>
      </c>
    </row>
    <row r="395" spans="1:2" x14ac:dyDescent="0.4">
      <c r="A395">
        <v>395</v>
      </c>
      <c r="B395" t="s">
        <v>476</v>
      </c>
    </row>
    <row r="396" spans="1:2" x14ac:dyDescent="0.4">
      <c r="A396">
        <v>396</v>
      </c>
      <c r="B396" t="s">
        <v>477</v>
      </c>
    </row>
  </sheetData>
  <sortState xmlns:xlrd2="http://schemas.microsoft.com/office/spreadsheetml/2017/richdata2" ref="A1:B444">
    <sortCondition ref="A1:A444"/>
  </sortState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B4BB-288B-4D07-9662-7E735EFFB818}">
  <sheetPr codeName="Sheet5"/>
  <dimension ref="A1:C180"/>
  <sheetViews>
    <sheetView topLeftCell="A55" zoomScaleNormal="100" workbookViewId="0">
      <selection activeCell="F17" sqref="F17"/>
    </sheetView>
  </sheetViews>
  <sheetFormatPr defaultRowHeight="18.75" x14ac:dyDescent="0.4"/>
  <cols>
    <col min="1" max="1" width="46.5" bestFit="1" customWidth="1"/>
    <col min="3" max="3" width="46.5" bestFit="1" customWidth="1"/>
  </cols>
  <sheetData>
    <row r="1" spans="1:3" x14ac:dyDescent="0.4">
      <c r="A1" t="s">
        <v>626</v>
      </c>
      <c r="B1" t="s">
        <v>625</v>
      </c>
      <c r="C1" t="str">
        <f>VLOOKUP(改修!A1,装備閲覧!$D$2:$D$503,1,0)</f>
        <v>10cm連装高角砲+高射装置</v>
      </c>
    </row>
    <row r="2" spans="1:3" x14ac:dyDescent="0.4">
      <c r="A2" t="s">
        <v>628</v>
      </c>
      <c r="B2" t="s">
        <v>625</v>
      </c>
      <c r="C2" t="str">
        <f>VLOOKUP(改修!A2,装備閲覧!$D$2:$D$503,1,0)</f>
        <v>10cm連装高角砲改+増設機銃</v>
      </c>
    </row>
    <row r="3" spans="1:3" x14ac:dyDescent="0.4">
      <c r="A3" t="s">
        <v>310</v>
      </c>
      <c r="B3" t="s">
        <v>625</v>
      </c>
      <c r="C3" t="str">
        <f>VLOOKUP(改修!A3,装備閲覧!$D$2:$D$503,1,0)</f>
        <v>12.7cm単装高角砲(後期型)</v>
      </c>
    </row>
    <row r="4" spans="1:3" x14ac:dyDescent="0.4">
      <c r="A4" t="s">
        <v>47</v>
      </c>
      <c r="B4" t="s">
        <v>625</v>
      </c>
      <c r="C4" t="str">
        <f>VLOOKUP(改修!A4,装備閲覧!$D$2:$D$503,1,0)</f>
        <v>12.7cm連装高角砲</v>
      </c>
    </row>
    <row r="5" spans="1:3" x14ac:dyDescent="0.4">
      <c r="A5" t="s">
        <v>627</v>
      </c>
      <c r="B5" t="s">
        <v>625</v>
      </c>
      <c r="C5" t="str">
        <f>VLOOKUP(改修!A5,装備閲覧!$D$2:$D$503,1,0)</f>
        <v>12.7cm連装高角砲(後期型)</v>
      </c>
    </row>
    <row r="6" spans="1:3" x14ac:dyDescent="0.4">
      <c r="A6" t="s">
        <v>629</v>
      </c>
      <c r="B6" t="s">
        <v>625</v>
      </c>
      <c r="C6" t="str">
        <f>VLOOKUP(改修!A6,装備閲覧!$D$2:$D$503,1,0)</f>
        <v>12.7cm連装砲</v>
      </c>
    </row>
    <row r="7" spans="1:3" x14ac:dyDescent="0.4">
      <c r="A7" t="s">
        <v>376</v>
      </c>
      <c r="B7" t="s">
        <v>625</v>
      </c>
      <c r="C7" t="str">
        <f>VLOOKUP(改修!A7,装備閲覧!$D$2:$D$503,1,0)</f>
        <v>12.7cm連装砲A型</v>
      </c>
    </row>
    <row r="8" spans="1:3" x14ac:dyDescent="0.4">
      <c r="A8" t="s">
        <v>630</v>
      </c>
      <c r="B8" t="s">
        <v>625</v>
      </c>
      <c r="C8" t="str">
        <f>VLOOKUP(改修!A8,装備閲覧!$D$2:$D$503,1,0)</f>
        <v>12.7cm連装砲A型改三(戦時改修)+高射装置</v>
      </c>
    </row>
    <row r="9" spans="1:3" x14ac:dyDescent="0.4">
      <c r="A9" t="s">
        <v>373</v>
      </c>
      <c r="B9" t="s">
        <v>625</v>
      </c>
      <c r="C9" t="str">
        <f>VLOOKUP(改修!A9,装備閲覧!$D$2:$D$503,1,0)</f>
        <v>12.7cm連装砲A型改二</v>
      </c>
    </row>
    <row r="10" spans="1:3" x14ac:dyDescent="0.4">
      <c r="A10" t="s">
        <v>631</v>
      </c>
      <c r="B10" t="s">
        <v>625</v>
      </c>
      <c r="C10" t="str">
        <f>VLOOKUP(改修!A10,装備閲覧!$D$2:$D$503,1,0)</f>
        <v>12.7cm連装砲B型改四(戦時改修)+高射装置</v>
      </c>
    </row>
    <row r="11" spans="1:3" x14ac:dyDescent="0.4">
      <c r="A11" t="s">
        <v>120</v>
      </c>
      <c r="B11" t="s">
        <v>625</v>
      </c>
      <c r="C11" t="str">
        <f>VLOOKUP(改修!A11,装備閲覧!$D$2:$D$503,1,0)</f>
        <v>12.7cm連装砲B型改二</v>
      </c>
    </row>
    <row r="12" spans="1:3" x14ac:dyDescent="0.4">
      <c r="A12" t="s">
        <v>345</v>
      </c>
      <c r="B12" t="s">
        <v>625</v>
      </c>
      <c r="C12" t="str">
        <f>VLOOKUP(改修!A12,装備閲覧!$D$2:$D$503,1,0)</f>
        <v>12.7cm連装砲C型改二</v>
      </c>
    </row>
    <row r="13" spans="1:3" x14ac:dyDescent="0.4">
      <c r="A13" t="s">
        <v>346</v>
      </c>
      <c r="B13" t="s">
        <v>625</v>
      </c>
      <c r="C13" t="str">
        <f>VLOOKUP(改修!A13,装備閲覧!$D$2:$D$503,1,0)</f>
        <v>12.7cm連装砲D型改二</v>
      </c>
    </row>
    <row r="14" spans="1:3" x14ac:dyDescent="0.4">
      <c r="A14" t="s">
        <v>106</v>
      </c>
      <c r="B14" t="s">
        <v>625</v>
      </c>
      <c r="C14" t="str">
        <f>VLOOKUP(改修!A14,装備閲覧!$D$2:$D$503,1,0)</f>
        <v>12cm30連装噴進砲</v>
      </c>
    </row>
    <row r="15" spans="1:3" x14ac:dyDescent="0.4">
      <c r="A15" t="s">
        <v>353</v>
      </c>
      <c r="B15" t="s">
        <v>625</v>
      </c>
      <c r="C15" t="str">
        <f>VLOOKUP(改修!A15,装備閲覧!$D$2:$D$503,1,0)</f>
        <v>12cm30連装噴進砲改二</v>
      </c>
    </row>
    <row r="16" spans="1:3" x14ac:dyDescent="0.4">
      <c r="A16" t="s">
        <v>462</v>
      </c>
      <c r="B16" t="s">
        <v>625</v>
      </c>
      <c r="C16" t="str">
        <f>VLOOKUP(改修!A16,装備閲覧!$D$2:$D$503,1,0)</f>
        <v>12cm単装高角砲E型</v>
      </c>
    </row>
    <row r="17" spans="1:3" x14ac:dyDescent="0.4">
      <c r="A17" t="s">
        <v>29</v>
      </c>
      <c r="B17" t="s">
        <v>625</v>
      </c>
      <c r="C17" t="str">
        <f>VLOOKUP(改修!A17,装備閲覧!$D$2:$D$503,1,0)</f>
        <v>12cm単装砲</v>
      </c>
    </row>
    <row r="18" spans="1:3" x14ac:dyDescent="0.4">
      <c r="A18" t="s">
        <v>372</v>
      </c>
      <c r="B18" t="s">
        <v>625</v>
      </c>
      <c r="C18" t="str">
        <f>VLOOKUP(改修!A18,装備閲覧!$D$2:$D$503,1,0)</f>
        <v>12cm単装砲改二</v>
      </c>
    </row>
    <row r="19" spans="1:3" x14ac:dyDescent="0.4">
      <c r="A19" t="s">
        <v>361</v>
      </c>
      <c r="B19" t="s">
        <v>625</v>
      </c>
      <c r="C19" t="str">
        <f>VLOOKUP(改修!A19,装備閲覧!$D$2:$D$503,1,0)</f>
        <v>130mm B-13連装砲</v>
      </c>
    </row>
    <row r="20" spans="1:3" x14ac:dyDescent="0.4">
      <c r="A20" t="s">
        <v>73</v>
      </c>
      <c r="B20" t="s">
        <v>625</v>
      </c>
      <c r="C20" t="str">
        <f>VLOOKUP(改修!A20,装備閲覧!$D$2:$D$503,1,0)</f>
        <v>13号対空電探</v>
      </c>
    </row>
    <row r="21" spans="1:3" x14ac:dyDescent="0.4">
      <c r="A21" t="s">
        <v>170</v>
      </c>
      <c r="B21" t="s">
        <v>625</v>
      </c>
      <c r="C21" t="str">
        <f>VLOOKUP(改修!A21,装備閲覧!$D$2:$D$503,1,0)</f>
        <v>13号対空電探改</v>
      </c>
    </row>
    <row r="22" spans="1:3" x14ac:dyDescent="0.4">
      <c r="A22" t="s">
        <v>35</v>
      </c>
      <c r="B22" t="s">
        <v>625</v>
      </c>
      <c r="C22" t="str">
        <f>VLOOKUP(改修!A22,装備閲覧!$D$2:$D$503,1,0)</f>
        <v>14cm単装砲</v>
      </c>
    </row>
    <row r="23" spans="1:3" x14ac:dyDescent="0.4">
      <c r="A23" t="s">
        <v>185</v>
      </c>
      <c r="B23" t="s">
        <v>625</v>
      </c>
      <c r="C23" t="str">
        <f>VLOOKUP(改修!A23,装備閲覧!$D$2:$D$503,1,0)</f>
        <v>14cm連装砲</v>
      </c>
    </row>
    <row r="24" spans="1:3" x14ac:dyDescent="0.4">
      <c r="A24" t="s">
        <v>328</v>
      </c>
      <c r="B24" t="s">
        <v>625</v>
      </c>
      <c r="C24" t="str">
        <f>VLOOKUP(改修!A24,装備閲覧!$D$2:$D$503,1,0)</f>
        <v>15.2cm三連装砲</v>
      </c>
    </row>
    <row r="25" spans="1:3" x14ac:dyDescent="0.4">
      <c r="A25" t="s">
        <v>48</v>
      </c>
      <c r="B25" t="s">
        <v>625</v>
      </c>
      <c r="C25" t="str">
        <f>VLOOKUP(改修!A25,装備閲覧!$D$2:$D$503,1,0)</f>
        <v>15.2cm単装砲</v>
      </c>
    </row>
    <row r="26" spans="1:3" x14ac:dyDescent="0.4">
      <c r="A26" t="s">
        <v>122</v>
      </c>
      <c r="B26" t="s">
        <v>625</v>
      </c>
      <c r="C26" t="str">
        <f>VLOOKUP(改修!A26,装備閲覧!$D$2:$D$503,1,0)</f>
        <v>15.2cm連装砲</v>
      </c>
    </row>
    <row r="27" spans="1:3" x14ac:dyDescent="0.4">
      <c r="A27" t="s">
        <v>210</v>
      </c>
      <c r="B27" t="s">
        <v>625</v>
      </c>
      <c r="C27" t="str">
        <f>VLOOKUP(改修!A27,装備閲覧!$D$2:$D$503,1,0)</f>
        <v>15.2cm連装砲改</v>
      </c>
    </row>
    <row r="28" spans="1:3" x14ac:dyDescent="0.4">
      <c r="A28" t="s">
        <v>49</v>
      </c>
      <c r="B28" t="s">
        <v>625</v>
      </c>
      <c r="C28" t="str">
        <f>VLOOKUP(改修!A28,装備閲覧!$D$2:$D$503,1,0)</f>
        <v>15.5cm三連装副砲</v>
      </c>
    </row>
    <row r="29" spans="1:3" x14ac:dyDescent="0.4">
      <c r="A29" t="s">
        <v>315</v>
      </c>
      <c r="B29" t="s">
        <v>625</v>
      </c>
      <c r="C29" t="str">
        <f>VLOOKUP(改修!A29,装備閲覧!$D$2:$D$503,1,0)</f>
        <v>15.5cm三連装副砲改</v>
      </c>
    </row>
    <row r="30" spans="1:3" x14ac:dyDescent="0.4">
      <c r="A30" t="s">
        <v>37</v>
      </c>
      <c r="B30" t="s">
        <v>625</v>
      </c>
      <c r="C30" t="str">
        <f>VLOOKUP(改修!A30,装備閲覧!$D$2:$D$503,1,0)</f>
        <v>15.5cm三連装砲</v>
      </c>
    </row>
    <row r="31" spans="1:3" x14ac:dyDescent="0.4">
      <c r="A31" t="s">
        <v>316</v>
      </c>
      <c r="B31" t="s">
        <v>625</v>
      </c>
      <c r="C31" t="str">
        <f>VLOOKUP(改修!A31,装備閲覧!$D$2:$D$503,1,0)</f>
        <v>15.5cm三連装砲改</v>
      </c>
    </row>
    <row r="32" spans="1:3" x14ac:dyDescent="0.4">
      <c r="A32" t="s">
        <v>410</v>
      </c>
      <c r="B32" t="s">
        <v>625</v>
      </c>
      <c r="C32" t="str">
        <f>VLOOKUP(改修!A32,装備閲覧!$D$2:$D$503,1,0)</f>
        <v>16inch Mk.I連装砲</v>
      </c>
    </row>
    <row r="33" spans="1:3" x14ac:dyDescent="0.4">
      <c r="A33" t="s">
        <v>411</v>
      </c>
      <c r="B33" t="s">
        <v>625</v>
      </c>
      <c r="C33" t="str">
        <f>VLOOKUP(改修!A33,装備閲覧!$D$2:$D$503,1,0)</f>
        <v>16inch Mk.V連装砲</v>
      </c>
    </row>
    <row r="34" spans="1:3" x14ac:dyDescent="0.4">
      <c r="A34" t="s">
        <v>234</v>
      </c>
      <c r="B34" t="s">
        <v>625</v>
      </c>
      <c r="C34" t="str">
        <f>VLOOKUP(改修!A34,装備閲覧!$D$2:$D$503,1,0)</f>
        <v>16inch三連装砲 Mk.7</v>
      </c>
    </row>
    <row r="35" spans="1:3" x14ac:dyDescent="0.4">
      <c r="A35" t="s">
        <v>632</v>
      </c>
      <c r="B35" t="s">
        <v>625</v>
      </c>
      <c r="C35" t="str">
        <f>VLOOKUP(改修!A35,装備閲覧!$D$2:$D$503,1,0)</f>
        <v>16inch三連装砲 Mk.7+GFCS</v>
      </c>
    </row>
    <row r="36" spans="1:3" x14ac:dyDescent="0.4">
      <c r="A36" t="s">
        <v>153</v>
      </c>
      <c r="B36" t="s">
        <v>625</v>
      </c>
      <c r="C36" t="str">
        <f>VLOOKUP(改修!A36,装備閲覧!$D$2:$D$503,1,0)</f>
        <v>20.3cm(2号)連装砲</v>
      </c>
    </row>
    <row r="37" spans="1:3" x14ac:dyDescent="0.4">
      <c r="A37" t="s">
        <v>105</v>
      </c>
      <c r="B37" t="s">
        <v>625</v>
      </c>
      <c r="C37" t="str">
        <f>VLOOKUP(改修!A37,装備閲覧!$D$2:$D$503,1,0)</f>
        <v>20.3cm(3号)連装砲</v>
      </c>
    </row>
    <row r="38" spans="1:3" x14ac:dyDescent="0.4">
      <c r="A38" t="s">
        <v>38</v>
      </c>
      <c r="B38" t="s">
        <v>625</v>
      </c>
      <c r="C38" t="str">
        <f>VLOOKUP(改修!A38,装備閲覧!$D$2:$D$503,1,0)</f>
        <v>20.3cm連装砲</v>
      </c>
    </row>
    <row r="39" spans="1:3" x14ac:dyDescent="0.4">
      <c r="A39" t="s">
        <v>633</v>
      </c>
      <c r="B39" t="s">
        <v>625</v>
      </c>
      <c r="C39" t="str">
        <f>VLOOKUP(改修!A39,装備閲覧!$D$2:$D$503,1,0)</f>
        <v>203mm/53 連装砲</v>
      </c>
    </row>
    <row r="40" spans="1:3" x14ac:dyDescent="0.4">
      <c r="A40" t="s">
        <v>77</v>
      </c>
      <c r="B40" t="s">
        <v>625</v>
      </c>
      <c r="C40" t="str">
        <f>VLOOKUP(改修!A40,装備閲覧!$D$2:$D$503,1,0)</f>
        <v>21号対空電探</v>
      </c>
    </row>
    <row r="41" spans="1:3" x14ac:dyDescent="0.4">
      <c r="A41" t="s">
        <v>152</v>
      </c>
      <c r="B41" t="s">
        <v>625</v>
      </c>
      <c r="C41" t="str">
        <f>VLOOKUP(改修!A41,装備閲覧!$D$2:$D$503,1,0)</f>
        <v>21号対空電探改</v>
      </c>
    </row>
    <row r="42" spans="1:3" x14ac:dyDescent="0.4">
      <c r="A42" t="s">
        <v>74</v>
      </c>
      <c r="B42" t="s">
        <v>625</v>
      </c>
      <c r="C42" t="str">
        <f>VLOOKUP(改修!A42,装備閲覧!$D$2:$D$503,1,0)</f>
        <v>22号対水上電探</v>
      </c>
    </row>
    <row r="43" spans="1:3" x14ac:dyDescent="0.4">
      <c r="A43" t="s">
        <v>151</v>
      </c>
      <c r="B43" t="s">
        <v>625</v>
      </c>
      <c r="C43" t="str">
        <f>VLOOKUP(改修!A43,装備閲覧!$D$2:$D$503,1,0)</f>
        <v>22号対水上電探改四</v>
      </c>
    </row>
    <row r="44" spans="1:3" x14ac:dyDescent="0.4">
      <c r="A44" t="s">
        <v>92</v>
      </c>
      <c r="B44" t="s">
        <v>625</v>
      </c>
      <c r="C44" t="str">
        <f>VLOOKUP(改修!A44,装備閲覧!$D$2:$D$503,1,0)</f>
        <v>25mm三連装機銃</v>
      </c>
    </row>
    <row r="45" spans="1:3" x14ac:dyDescent="0.4">
      <c r="A45" t="s">
        <v>200</v>
      </c>
      <c r="B45" t="s">
        <v>625</v>
      </c>
      <c r="C45" t="str">
        <f>VLOOKUP(改修!A45,装備閲覧!$D$2:$D$503,1,0)</f>
        <v>25mm三連装機銃 集中配備</v>
      </c>
    </row>
    <row r="46" spans="1:3" x14ac:dyDescent="0.4">
      <c r="A46" t="s">
        <v>104</v>
      </c>
      <c r="B46" t="s">
        <v>625</v>
      </c>
      <c r="C46" t="str">
        <f>VLOOKUP(改修!A46,装備閲覧!$D$2:$D$503,1,0)</f>
        <v>25mm単装機銃</v>
      </c>
    </row>
    <row r="47" spans="1:3" x14ac:dyDescent="0.4">
      <c r="A47" t="s">
        <v>91</v>
      </c>
      <c r="B47" t="s">
        <v>625</v>
      </c>
      <c r="C47" t="str">
        <f>VLOOKUP(改修!A47,装備閲覧!$D$2:$D$503,1,0)</f>
        <v>25mm連装機銃</v>
      </c>
    </row>
    <row r="48" spans="1:3" x14ac:dyDescent="0.4">
      <c r="A48" t="s">
        <v>78</v>
      </c>
      <c r="B48" t="s">
        <v>625</v>
      </c>
      <c r="C48" t="str">
        <f>VLOOKUP(改修!A48,装備閲覧!$D$2:$D$503,1,0)</f>
        <v>32号対水上電探</v>
      </c>
    </row>
    <row r="49" spans="1:3" x14ac:dyDescent="0.4">
      <c r="A49" t="s">
        <v>213</v>
      </c>
      <c r="B49" t="s">
        <v>625</v>
      </c>
      <c r="C49" t="str">
        <f>VLOOKUP(改修!A49,装備閲覧!$D$2:$D$503,1,0)</f>
        <v>32号対水上電探改</v>
      </c>
    </row>
    <row r="50" spans="1:3" x14ac:dyDescent="0.4">
      <c r="A50" t="s">
        <v>75</v>
      </c>
      <c r="B50" t="s">
        <v>625</v>
      </c>
      <c r="C50" t="str">
        <f>VLOOKUP(改修!A50,装備閲覧!$D$2:$D$503,1,0)</f>
        <v>33号対水上電探</v>
      </c>
    </row>
    <row r="51" spans="1:3" x14ac:dyDescent="0.4">
      <c r="A51" t="s">
        <v>40</v>
      </c>
      <c r="B51" t="s">
        <v>625</v>
      </c>
      <c r="C51" t="str">
        <f>VLOOKUP(改修!A51,装備閲覧!$D$2:$D$503,1,0)</f>
        <v>35.6cm連装砲</v>
      </c>
    </row>
    <row r="52" spans="1:3" x14ac:dyDescent="0.4">
      <c r="A52" t="s">
        <v>168</v>
      </c>
      <c r="B52" t="s">
        <v>625</v>
      </c>
      <c r="C52" t="str">
        <f>VLOOKUP(改修!A52,装備閲覧!$D$2:$D$503,1,0)</f>
        <v>35.6cm連装砲(ダズル迷彩)</v>
      </c>
    </row>
    <row r="53" spans="1:3" x14ac:dyDescent="0.4">
      <c r="A53" t="s">
        <v>408</v>
      </c>
      <c r="B53" t="s">
        <v>625</v>
      </c>
      <c r="C53" t="str">
        <f>VLOOKUP(改修!A53,装備閲覧!$D$2:$D$503,1,0)</f>
        <v>35.6cm連装砲改</v>
      </c>
    </row>
    <row r="54" spans="1:3" x14ac:dyDescent="0.4">
      <c r="A54" t="s">
        <v>270</v>
      </c>
      <c r="B54" t="s">
        <v>625</v>
      </c>
      <c r="C54" t="str">
        <f>VLOOKUP(改修!A54,装備閲覧!$D$2:$D$503,1,0)</f>
        <v>38.1cm Mk.I/N連装砲改</v>
      </c>
    </row>
    <row r="55" spans="1:3" x14ac:dyDescent="0.4">
      <c r="A55" t="s">
        <v>268</v>
      </c>
      <c r="B55" t="s">
        <v>625</v>
      </c>
      <c r="C55" t="str">
        <f>VLOOKUP(改修!A55,装備閲覧!$D$2:$D$503,1,0)</f>
        <v>38.1cm Mk.I連装砲</v>
      </c>
    </row>
    <row r="56" spans="1:3" x14ac:dyDescent="0.4">
      <c r="A56" t="s">
        <v>634</v>
      </c>
      <c r="B56" t="s">
        <v>625</v>
      </c>
      <c r="C56" t="str">
        <f>VLOOKUP(改修!A56,装備閲覧!$D$2:$D$503,1,0)</f>
        <v>381mm/50 三連装砲</v>
      </c>
    </row>
    <row r="57" spans="1:3" x14ac:dyDescent="0.4">
      <c r="A57" t="s">
        <v>635</v>
      </c>
      <c r="B57" t="s">
        <v>625</v>
      </c>
      <c r="C57" t="str">
        <f>VLOOKUP(改修!A57,装備閲覧!$D$2:$D$503,1,0)</f>
        <v>381mm/50 三連装砲改</v>
      </c>
    </row>
    <row r="58" spans="1:3" x14ac:dyDescent="0.4">
      <c r="A58" t="s">
        <v>326</v>
      </c>
      <c r="B58" t="s">
        <v>625</v>
      </c>
      <c r="C58" t="str">
        <f>VLOOKUP(改修!A58,装備閲覧!$D$2:$D$503,1,0)</f>
        <v>38cm四連装砲</v>
      </c>
    </row>
    <row r="59" spans="1:3" x14ac:dyDescent="0.4">
      <c r="A59" t="s">
        <v>327</v>
      </c>
      <c r="B59" t="s">
        <v>625</v>
      </c>
      <c r="C59" t="str">
        <f>VLOOKUP(改修!A59,装備閲覧!$D$2:$D$503,1,0)</f>
        <v>38cm四連装砲改</v>
      </c>
    </row>
    <row r="60" spans="1:3" x14ac:dyDescent="0.4">
      <c r="A60" t="s">
        <v>139</v>
      </c>
      <c r="B60" t="s">
        <v>625</v>
      </c>
      <c r="C60" t="str">
        <f>VLOOKUP(改修!A60,装備閲覧!$D$2:$D$503,1,0)</f>
        <v>38cm連装砲</v>
      </c>
    </row>
    <row r="61" spans="1:3" x14ac:dyDescent="0.4">
      <c r="A61" t="s">
        <v>180</v>
      </c>
      <c r="B61" t="s">
        <v>625</v>
      </c>
      <c r="C61" t="str">
        <f>VLOOKUP(改修!A61,装備閲覧!$D$2:$D$503,1,0)</f>
        <v>38cm連装砲改</v>
      </c>
    </row>
    <row r="62" spans="1:3" x14ac:dyDescent="0.4">
      <c r="A62" t="s">
        <v>317</v>
      </c>
      <c r="B62" t="s">
        <v>625</v>
      </c>
      <c r="C62" t="str">
        <f>VLOOKUP(改修!A62,装備閲覧!$D$2:$D$503,1,0)</f>
        <v>41cm三連装砲改</v>
      </c>
    </row>
    <row r="63" spans="1:3" x14ac:dyDescent="0.4">
      <c r="A63" t="s">
        <v>369</v>
      </c>
      <c r="B63" t="s">
        <v>625</v>
      </c>
      <c r="C63" t="str">
        <f>VLOOKUP(改修!A63,装備閲覧!$D$2:$D$503,1,0)</f>
        <v>41cm三連装砲改二</v>
      </c>
    </row>
    <row r="64" spans="1:3" x14ac:dyDescent="0.4">
      <c r="A64" t="s">
        <v>42</v>
      </c>
      <c r="B64" t="s">
        <v>625</v>
      </c>
      <c r="C64" t="str">
        <f>VLOOKUP(改修!A64,装備閲覧!$D$2:$D$503,1,0)</f>
        <v>41cm連装砲</v>
      </c>
    </row>
    <row r="65" spans="1:3" x14ac:dyDescent="0.4">
      <c r="A65" t="s">
        <v>398</v>
      </c>
      <c r="B65" t="s">
        <v>625</v>
      </c>
      <c r="C65" t="str">
        <f>VLOOKUP(改修!A65,装備閲覧!$D$2:$D$503,1,0)</f>
        <v>41cm連装砲改二</v>
      </c>
    </row>
    <row r="66" spans="1:3" x14ac:dyDescent="0.4">
      <c r="A66" t="s">
        <v>79</v>
      </c>
      <c r="B66" t="s">
        <v>625</v>
      </c>
      <c r="C66" t="str">
        <f>VLOOKUP(改修!A66,装備閲覧!$D$2:$D$503,1,0)</f>
        <v>42号対空電探</v>
      </c>
    </row>
    <row r="67" spans="1:3" x14ac:dyDescent="0.4">
      <c r="A67" t="s">
        <v>43</v>
      </c>
      <c r="B67" t="s">
        <v>625</v>
      </c>
      <c r="C67" t="str">
        <f>VLOOKUP(改修!A67,装備閲覧!$D$2:$D$503,1,0)</f>
        <v>46cm三連装砲</v>
      </c>
    </row>
    <row r="68" spans="1:3" x14ac:dyDescent="0.4">
      <c r="A68" t="s">
        <v>355</v>
      </c>
      <c r="B68" t="s">
        <v>625</v>
      </c>
      <c r="C68" t="str">
        <f>VLOOKUP(改修!A68,装備閲覧!$D$2:$D$503,1,0)</f>
        <v>46cm三連装砲改</v>
      </c>
    </row>
    <row r="69" spans="1:3" x14ac:dyDescent="0.4">
      <c r="A69" t="s">
        <v>360</v>
      </c>
      <c r="B69" t="s">
        <v>625</v>
      </c>
      <c r="C69" t="str">
        <f>VLOOKUP(改修!A69,装備閲覧!$D$2:$D$503,1,0)</f>
        <v>51cm連装砲</v>
      </c>
    </row>
    <row r="70" spans="1:3" x14ac:dyDescent="0.4">
      <c r="A70" t="s">
        <v>362</v>
      </c>
      <c r="B70" t="s">
        <v>625</v>
      </c>
      <c r="C70" t="str">
        <f>VLOOKUP(改修!A70,装備閲覧!$D$2:$D$503,1,0)</f>
        <v>533mm 三連装魚雷</v>
      </c>
    </row>
    <row r="71" spans="1:3" x14ac:dyDescent="0.4">
      <c r="A71" t="s">
        <v>394</v>
      </c>
      <c r="B71" t="s">
        <v>625</v>
      </c>
      <c r="C71" t="str">
        <f>VLOOKUP(改修!A71,装備閲覧!$D$2:$D$503,1,0)</f>
        <v>533mm五連装魚雷(初期型)</v>
      </c>
    </row>
    <row r="72" spans="1:3" x14ac:dyDescent="0.4">
      <c r="A72" t="s">
        <v>250</v>
      </c>
      <c r="B72" t="s">
        <v>625</v>
      </c>
      <c r="C72" t="str">
        <f>VLOOKUP(改修!A72,装備閲覧!$D$2:$D$503,1,0)</f>
        <v>53cm連装魚雷</v>
      </c>
    </row>
    <row r="73" spans="1:3" x14ac:dyDescent="0.4">
      <c r="A73" t="s">
        <v>363</v>
      </c>
      <c r="B73" t="s">
        <v>625</v>
      </c>
      <c r="C73" t="str">
        <f>VLOOKUP(改修!A73,装備閲覧!$D$2:$D$503,1,0)</f>
        <v>5inch単装砲 Mk.30</v>
      </c>
    </row>
    <row r="74" spans="1:3" x14ac:dyDescent="0.4">
      <c r="A74" t="s">
        <v>115</v>
      </c>
      <c r="B74" t="s">
        <v>625</v>
      </c>
      <c r="C74" t="str">
        <f>VLOOKUP(改修!A74,装備閲覧!$D$2:$D$503,1,0)</f>
        <v>61cm五連装(酸素)魚雷</v>
      </c>
    </row>
    <row r="75" spans="1:3" x14ac:dyDescent="0.4">
      <c r="A75" t="s">
        <v>192</v>
      </c>
      <c r="B75" t="s">
        <v>625</v>
      </c>
      <c r="C75" t="str">
        <f>VLOOKUP(改修!A75,装備閲覧!$D$2:$D$503,1,0)</f>
        <v>61cm三連装(酸素)魚雷</v>
      </c>
    </row>
    <row r="76" spans="1:3" x14ac:dyDescent="0.4">
      <c r="A76" t="s">
        <v>364</v>
      </c>
      <c r="B76" t="s">
        <v>625</v>
      </c>
      <c r="C76" t="str">
        <f>VLOOKUP(改修!A76,装備閲覧!$D$2:$D$503,1,0)</f>
        <v>61cm三連装(酸素)魚雷後期型</v>
      </c>
    </row>
    <row r="77" spans="1:3" x14ac:dyDescent="0.4">
      <c r="A77" t="s">
        <v>51</v>
      </c>
      <c r="B77" t="s">
        <v>625</v>
      </c>
      <c r="C77" t="str">
        <f>VLOOKUP(改修!A77,装備閲覧!$D$2:$D$503,1,0)</f>
        <v>61cm三連装魚雷</v>
      </c>
    </row>
    <row r="78" spans="1:3" x14ac:dyDescent="0.4">
      <c r="A78" t="s">
        <v>53</v>
      </c>
      <c r="B78" t="s">
        <v>625</v>
      </c>
      <c r="C78" t="str">
        <f>VLOOKUP(改修!A78,装備閲覧!$D$2:$D$503,1,0)</f>
        <v>61cm四連装(酸素)魚雷</v>
      </c>
    </row>
    <row r="79" spans="1:3" x14ac:dyDescent="0.4">
      <c r="A79" t="s">
        <v>365</v>
      </c>
      <c r="B79" t="s">
        <v>625</v>
      </c>
      <c r="C79" t="str">
        <f>VLOOKUP(改修!A79,装備閲覧!$D$2:$D$503,1,0)</f>
        <v>61cm四連装(酸素)魚雷後期型</v>
      </c>
    </row>
    <row r="80" spans="1:3" x14ac:dyDescent="0.4">
      <c r="A80" t="s">
        <v>52</v>
      </c>
      <c r="B80" t="s">
        <v>625</v>
      </c>
      <c r="C80" t="str">
        <f>VLOOKUP(改修!A80,装備閲覧!$D$2:$D$503,1,0)</f>
        <v>61cm四連装魚雷</v>
      </c>
    </row>
    <row r="81" spans="1:3" x14ac:dyDescent="0.4">
      <c r="A81" t="s">
        <v>123</v>
      </c>
      <c r="B81" t="s">
        <v>625</v>
      </c>
      <c r="C81" t="str">
        <f>VLOOKUP(改修!A81,装備閲覧!$D$2:$D$503,1,0)</f>
        <v>8cm高角砲</v>
      </c>
    </row>
    <row r="82" spans="1:3" x14ac:dyDescent="0.4">
      <c r="A82" t="s">
        <v>636</v>
      </c>
      <c r="B82" t="s">
        <v>625</v>
      </c>
      <c r="C82" t="str">
        <f>VLOOKUP(改修!A82,装備閲覧!$D$2:$D$503,1,0)</f>
        <v>8cm高角砲改+増設機銃</v>
      </c>
    </row>
    <row r="83" spans="1:3" x14ac:dyDescent="0.4">
      <c r="A83" t="s">
        <v>436</v>
      </c>
      <c r="B83" t="s">
        <v>625</v>
      </c>
      <c r="C83" t="str">
        <f>VLOOKUP(改修!A83,装備閲覧!$D$2:$D$503,1,0)</f>
        <v>8inch三連装砲 Mk.9</v>
      </c>
    </row>
    <row r="84" spans="1:3" x14ac:dyDescent="0.4">
      <c r="A84" t="s">
        <v>437</v>
      </c>
      <c r="B84" t="s">
        <v>625</v>
      </c>
      <c r="C84" t="str">
        <f>VLOOKUP(改修!A84,装備閲覧!$D$2:$D$503,1,0)</f>
        <v>8inch三連装砲 Mk.9 mod.2</v>
      </c>
    </row>
    <row r="85" spans="1:3" x14ac:dyDescent="0.4">
      <c r="A85" t="s">
        <v>205</v>
      </c>
      <c r="B85" t="s">
        <v>625</v>
      </c>
      <c r="C85" t="str">
        <f>VLOOKUP(改修!A85,装備閲覧!$D$2:$D$503,1,0)</f>
        <v>90mm単装高角砲</v>
      </c>
    </row>
    <row r="86" spans="1:3" x14ac:dyDescent="0.4">
      <c r="A86" t="s">
        <v>187</v>
      </c>
      <c r="B86" t="s">
        <v>625</v>
      </c>
      <c r="C86" t="str">
        <f>VLOOKUP(改修!A86,装備閲覧!$D$2:$D$503,1,0)</f>
        <v>91式高射装置</v>
      </c>
    </row>
    <row r="87" spans="1:3" x14ac:dyDescent="0.4">
      <c r="A87" t="s">
        <v>188</v>
      </c>
      <c r="B87" t="s">
        <v>625</v>
      </c>
      <c r="C87" t="str">
        <f>VLOOKUP(改修!A87,装備閲覧!$D$2:$D$503,1,0)</f>
        <v>94式高射装置</v>
      </c>
    </row>
    <row r="88" spans="1:3" x14ac:dyDescent="0.4">
      <c r="A88" t="s">
        <v>212</v>
      </c>
      <c r="B88" t="s">
        <v>625</v>
      </c>
      <c r="C88" t="str">
        <f>VLOOKUP(改修!A88,装備閲覧!$D$2:$D$503,1,0)</f>
        <v>96式150cm探照灯</v>
      </c>
    </row>
    <row r="89" spans="1:3" x14ac:dyDescent="0.4">
      <c r="A89" t="s">
        <v>637</v>
      </c>
      <c r="B89" t="s">
        <v>625</v>
      </c>
      <c r="C89" t="str">
        <f>VLOOKUP(改修!A89,装備閲覧!$D$2:$D$503,1,0)</f>
        <v>Bofors 15.2cm連装砲 Model 1930</v>
      </c>
    </row>
    <row r="90" spans="1:3" x14ac:dyDescent="0.4">
      <c r="A90" t="s">
        <v>275</v>
      </c>
      <c r="B90" t="s">
        <v>625</v>
      </c>
      <c r="C90" t="str">
        <f>VLOOKUP(改修!A90,装備閲覧!$D$2:$D$503,1,0)</f>
        <v>F4F-3</v>
      </c>
    </row>
    <row r="91" spans="1:3" x14ac:dyDescent="0.4">
      <c r="A91" t="s">
        <v>276</v>
      </c>
      <c r="B91" t="s">
        <v>625</v>
      </c>
      <c r="C91" t="str">
        <f>VLOOKUP(改修!A91,装備閲覧!$D$2:$D$503,1,0)</f>
        <v>F4F-4</v>
      </c>
    </row>
    <row r="92" spans="1:3" x14ac:dyDescent="0.4">
      <c r="A92" t="s">
        <v>284</v>
      </c>
      <c r="B92" t="s">
        <v>625</v>
      </c>
      <c r="C92" t="str">
        <f>VLOOKUP(改修!A92,装備閲覧!$D$2:$D$503,1,0)</f>
        <v>F6F-3</v>
      </c>
    </row>
    <row r="93" spans="1:3" x14ac:dyDescent="0.4">
      <c r="A93" t="s">
        <v>285</v>
      </c>
      <c r="B93" t="s">
        <v>625</v>
      </c>
      <c r="C93" t="str">
        <f>VLOOKUP(改修!A93,装備閲覧!$D$2:$D$503,1,0)</f>
        <v>F6F-5</v>
      </c>
    </row>
    <row r="94" spans="1:3" x14ac:dyDescent="0.4">
      <c r="A94" t="s">
        <v>638</v>
      </c>
      <c r="B94" t="s">
        <v>625</v>
      </c>
      <c r="C94" t="str">
        <f>VLOOKUP(改修!A94,装備閲覧!$D$2:$D$503,1,0)</f>
        <v>Late 298B</v>
      </c>
    </row>
    <row r="95" spans="1:3" x14ac:dyDescent="0.4">
      <c r="A95" t="s">
        <v>247</v>
      </c>
      <c r="B95" t="s">
        <v>625</v>
      </c>
      <c r="C95" t="str">
        <f>VLOOKUP(改修!A95,装備閲覧!$D$2:$D$503,1,0)</f>
        <v>OS2U</v>
      </c>
    </row>
    <row r="96" spans="1:3" x14ac:dyDescent="0.4">
      <c r="A96" t="s">
        <v>204</v>
      </c>
      <c r="B96" t="s">
        <v>625</v>
      </c>
      <c r="C96" t="str">
        <f>VLOOKUP(改修!A96,装備閲覧!$D$2:$D$503,1,0)</f>
        <v>OTO 152mm三連装速射砲</v>
      </c>
    </row>
    <row r="97" spans="1:3" x14ac:dyDescent="0.4">
      <c r="A97" t="s">
        <v>359</v>
      </c>
      <c r="B97" t="s">
        <v>625</v>
      </c>
      <c r="C97" t="str">
        <f>VLOOKUP(改修!A97,装備閲覧!$D$2:$D$503,1,0)</f>
        <v>QF 4.7inch砲 Mk.XII改</v>
      </c>
    </row>
    <row r="98" spans="1:3" x14ac:dyDescent="0.4">
      <c r="A98" t="s">
        <v>262</v>
      </c>
      <c r="B98" t="s">
        <v>625</v>
      </c>
      <c r="C98" t="str">
        <f>VLOOKUP(改修!A98,装備閲覧!$D$2:$D$503,1,0)</f>
        <v>Re.2001 OR改</v>
      </c>
    </row>
    <row r="99" spans="1:3" x14ac:dyDescent="0.4">
      <c r="A99" t="s">
        <v>236</v>
      </c>
      <c r="B99" t="s">
        <v>625</v>
      </c>
      <c r="C99" t="str">
        <f>VLOOKUP(改修!A99,装備閲覧!$D$2:$D$503,1,0)</f>
        <v>Ro.43水偵</v>
      </c>
    </row>
    <row r="100" spans="1:3" x14ac:dyDescent="0.4">
      <c r="A100" t="s">
        <v>238</v>
      </c>
      <c r="B100" t="s">
        <v>625</v>
      </c>
      <c r="C100" t="str">
        <f>VLOOKUP(改修!A100,装備閲覧!$D$2:$D$503,1,0)</f>
        <v>Ro.44水上戦闘機</v>
      </c>
    </row>
    <row r="101" spans="1:3" x14ac:dyDescent="0.4">
      <c r="A101" t="s">
        <v>296</v>
      </c>
      <c r="B101" t="s">
        <v>625</v>
      </c>
      <c r="C101" t="str">
        <f>VLOOKUP(改修!A101,装備閲覧!$D$2:$D$503,1,0)</f>
        <v>Ro.44水上戦闘機bis</v>
      </c>
    </row>
    <row r="102" spans="1:3" x14ac:dyDescent="0.4">
      <c r="A102" t="s">
        <v>406</v>
      </c>
      <c r="B102" t="s">
        <v>625</v>
      </c>
      <c r="C102" t="str">
        <f>VLOOKUP(改修!A102,装備閲覧!$D$2:$D$503,1,0)</f>
        <v>S-51J</v>
      </c>
    </row>
    <row r="103" spans="1:3" x14ac:dyDescent="0.4">
      <c r="A103" t="s">
        <v>407</v>
      </c>
      <c r="B103" t="s">
        <v>625</v>
      </c>
      <c r="C103" t="str">
        <f>VLOOKUP(改修!A103,装備閲覧!$D$2:$D$503,1,0)</f>
        <v>S-51J改</v>
      </c>
    </row>
    <row r="104" spans="1:3" x14ac:dyDescent="0.4">
      <c r="A104" t="s">
        <v>383</v>
      </c>
      <c r="B104" t="s">
        <v>625</v>
      </c>
      <c r="C104" t="str">
        <f>VLOOKUP(改修!A104,装備閲覧!$D$2:$D$503,1,0)</f>
        <v>S9 Osprey</v>
      </c>
    </row>
    <row r="105" spans="1:3" x14ac:dyDescent="0.4">
      <c r="A105" t="s">
        <v>329</v>
      </c>
      <c r="B105" t="s">
        <v>625</v>
      </c>
      <c r="C105" t="str">
        <f>VLOOKUP(改修!A105,装備閲覧!$D$2:$D$503,1,0)</f>
        <v>Skua</v>
      </c>
    </row>
    <row r="106" spans="1:3" x14ac:dyDescent="0.4">
      <c r="A106" t="s">
        <v>639</v>
      </c>
      <c r="B106" t="s">
        <v>625</v>
      </c>
      <c r="C106" t="str">
        <f>VLOOKUP(改修!A106,装備閲覧!$D$2:$D$503,1,0)</f>
        <v>SK レーダー</v>
      </c>
    </row>
    <row r="107" spans="1:3" x14ac:dyDescent="0.4">
      <c r="A107" t="s">
        <v>331</v>
      </c>
      <c r="B107" t="s">
        <v>625</v>
      </c>
      <c r="C107" t="str">
        <f>VLOOKUP(改修!A107,装備閲覧!$D$2:$D$503,1,0)</f>
        <v>Spitfire Mk.I</v>
      </c>
    </row>
    <row r="108" spans="1:3" x14ac:dyDescent="0.4">
      <c r="A108" t="s">
        <v>323</v>
      </c>
      <c r="B108" t="s">
        <v>625</v>
      </c>
      <c r="C108" t="str">
        <f>VLOOKUP(改修!A108,装備閲覧!$D$2:$D$503,1,0)</f>
        <v>Swordfish</v>
      </c>
    </row>
    <row r="109" spans="1:3" x14ac:dyDescent="0.4">
      <c r="A109" t="s">
        <v>448</v>
      </c>
      <c r="B109" t="s">
        <v>625</v>
      </c>
      <c r="C109" t="str">
        <f>VLOOKUP(改修!A109,装備閲覧!$D$2:$D$503,1,0)</f>
        <v>Swordfish Mk.III改(水上機型)</v>
      </c>
    </row>
    <row r="110" spans="1:3" x14ac:dyDescent="0.4">
      <c r="A110" t="s">
        <v>450</v>
      </c>
      <c r="B110" t="s">
        <v>625</v>
      </c>
      <c r="C110" t="str">
        <f>VLOOKUP(改修!A110,装備閲覧!$D$2:$D$503,1,0)</f>
        <v>Swordfish Mk.II改(水偵型)</v>
      </c>
    </row>
    <row r="111" spans="1:3" x14ac:dyDescent="0.4">
      <c r="A111" t="s">
        <v>447</v>
      </c>
      <c r="B111" t="s">
        <v>625</v>
      </c>
      <c r="C111" t="str">
        <f>VLOOKUP(改修!A111,装備閲覧!$D$2:$D$503,1,0)</f>
        <v>Swordfish(水上機型)</v>
      </c>
    </row>
    <row r="112" spans="1:3" x14ac:dyDescent="0.4">
      <c r="A112" t="s">
        <v>404</v>
      </c>
      <c r="B112" t="s">
        <v>625</v>
      </c>
      <c r="C112" t="str">
        <f>VLOOKUP(改修!A112,装備閲覧!$D$2:$D$503,1,0)</f>
        <v>オ号観測機改</v>
      </c>
    </row>
    <row r="113" spans="1:3" x14ac:dyDescent="0.4">
      <c r="A113" t="s">
        <v>405</v>
      </c>
      <c r="B113" t="s">
        <v>625</v>
      </c>
      <c r="C113" t="str">
        <f>VLOOKUP(改修!A113,装備閲覧!$D$2:$D$503,1,0)</f>
        <v>オ号観測機改二</v>
      </c>
    </row>
    <row r="114" spans="1:3" x14ac:dyDescent="0.4">
      <c r="A114" t="s">
        <v>128</v>
      </c>
      <c r="B114" t="s">
        <v>625</v>
      </c>
      <c r="C114" t="str">
        <f>VLOOKUP(改修!A114,装備閲覧!$D$2:$D$503,1,0)</f>
        <v>カ号観測機</v>
      </c>
    </row>
    <row r="115" spans="1:3" x14ac:dyDescent="0.4">
      <c r="A115" t="s">
        <v>303</v>
      </c>
      <c r="B115" t="s">
        <v>625</v>
      </c>
      <c r="C115" t="str">
        <f>VLOOKUP(改修!A115,装備閲覧!$D$2:$D$503,1,0)</f>
        <v>一式戦 隼III型甲</v>
      </c>
    </row>
    <row r="116" spans="1:3" x14ac:dyDescent="0.4">
      <c r="A116" t="s">
        <v>302</v>
      </c>
      <c r="B116" t="s">
        <v>625</v>
      </c>
      <c r="C116" t="str">
        <f>VLOOKUP(改修!A116,装備閲覧!$D$2:$D$503,1,0)</f>
        <v>一式戦 隼II型</v>
      </c>
    </row>
    <row r="117" spans="1:3" x14ac:dyDescent="0.4">
      <c r="A117" t="s">
        <v>182</v>
      </c>
      <c r="B117" t="s">
        <v>625</v>
      </c>
      <c r="C117" t="str">
        <f>VLOOKUP(改修!A117,装備閲覧!$D$2:$D$503,1,0)</f>
        <v>一式徹甲弾</v>
      </c>
    </row>
    <row r="118" spans="1:3" x14ac:dyDescent="0.4">
      <c r="A118" t="s">
        <v>445</v>
      </c>
      <c r="B118" t="s">
        <v>625</v>
      </c>
      <c r="C118" t="str">
        <f>VLOOKUP(改修!A118,装備閲覧!$D$2:$D$503,1,0)</f>
        <v>一式徹甲弾改</v>
      </c>
    </row>
    <row r="119" spans="1:3" x14ac:dyDescent="0.4">
      <c r="A119" t="s">
        <v>428</v>
      </c>
      <c r="B119" t="s">
        <v>625</v>
      </c>
      <c r="C119" t="str">
        <f>VLOOKUP(改修!A119,装備閲覧!$D$2:$D$503,1,0)</f>
        <v>艦載型 四式20cm対地噴進砲</v>
      </c>
    </row>
    <row r="120" spans="1:3" x14ac:dyDescent="0.4">
      <c r="A120" t="s">
        <v>283</v>
      </c>
      <c r="B120" t="s">
        <v>625</v>
      </c>
      <c r="C120" t="str">
        <f>VLOOKUP(改修!A120,装備閲覧!$D$2:$D$503,1,0)</f>
        <v>艦本新設計 増設バルジ(大型艦)</v>
      </c>
    </row>
    <row r="121" spans="1:3" x14ac:dyDescent="0.4">
      <c r="A121" t="s">
        <v>282</v>
      </c>
      <c r="B121" t="s">
        <v>625</v>
      </c>
      <c r="C121" t="str">
        <f>VLOOKUP(改修!A121,装備閲覧!$D$2:$D$503,1,0)</f>
        <v>艦本新設計 増設バルジ(中型艦)</v>
      </c>
    </row>
    <row r="122" spans="1:3" x14ac:dyDescent="0.4">
      <c r="A122" t="s">
        <v>83</v>
      </c>
      <c r="B122" t="s">
        <v>625</v>
      </c>
      <c r="C122" t="str">
        <f>VLOOKUP(改修!A122,装備閲覧!$D$2:$D$503,1,0)</f>
        <v>強化型艦本式缶</v>
      </c>
    </row>
    <row r="123" spans="1:3" x14ac:dyDescent="0.4">
      <c r="A123" t="s">
        <v>298</v>
      </c>
      <c r="B123" t="s">
        <v>625</v>
      </c>
      <c r="C123" t="str">
        <f>VLOOKUP(改修!A123,装備閲覧!$D$2:$D$503,1,0)</f>
        <v>強風改</v>
      </c>
    </row>
    <row r="124" spans="1:3" x14ac:dyDescent="0.4">
      <c r="A124" t="s">
        <v>87</v>
      </c>
      <c r="B124" t="s">
        <v>625</v>
      </c>
      <c r="C124" t="str">
        <f>VLOOKUP(改修!A124,装備閲覧!$D$2:$D$503,1,0)</f>
        <v>九一式徹甲弾</v>
      </c>
    </row>
    <row r="125" spans="1:3" x14ac:dyDescent="0.4">
      <c r="A125" t="s">
        <v>307</v>
      </c>
      <c r="B125" t="s">
        <v>625</v>
      </c>
      <c r="C125" t="str">
        <f>VLOOKUP(改修!A125,装備閲覧!$D$2:$D$503,1,0)</f>
        <v>九五式爆雷</v>
      </c>
    </row>
    <row r="126" spans="1:3" x14ac:dyDescent="0.4">
      <c r="A126" t="s">
        <v>101</v>
      </c>
      <c r="B126" t="s">
        <v>625</v>
      </c>
      <c r="C126" t="str">
        <f>VLOOKUP(改修!A126,装備閲覧!$D$2:$D$503,1,0)</f>
        <v>九三式水中聴音機</v>
      </c>
    </row>
    <row r="127" spans="1:3" x14ac:dyDescent="0.4">
      <c r="A127" t="s">
        <v>98</v>
      </c>
      <c r="B127" t="s">
        <v>625</v>
      </c>
      <c r="C127" t="str">
        <f>VLOOKUP(改修!A127,装備閲覧!$D$2:$D$503,1,0)</f>
        <v>九四式爆雷投射機</v>
      </c>
    </row>
    <row r="128" spans="1:3" x14ac:dyDescent="0.4">
      <c r="A128" t="s">
        <v>55</v>
      </c>
      <c r="B128" t="s">
        <v>625</v>
      </c>
      <c r="C128" t="str">
        <f>VLOOKUP(改修!A128,装備閲覧!$D$2:$D$503,1,0)</f>
        <v>九七式艦攻</v>
      </c>
    </row>
    <row r="129" spans="1:3" x14ac:dyDescent="0.4">
      <c r="A129" t="s">
        <v>145</v>
      </c>
      <c r="B129" t="s">
        <v>625</v>
      </c>
      <c r="C129" t="str">
        <f>VLOOKUP(改修!A129,装備閲覧!$D$2:$D$503,1,0)</f>
        <v>九七式艦攻(九三一空)</v>
      </c>
    </row>
    <row r="130" spans="1:3" x14ac:dyDescent="0.4">
      <c r="A130" t="s">
        <v>156</v>
      </c>
      <c r="B130" t="s">
        <v>625</v>
      </c>
      <c r="C130" t="str">
        <f>VLOOKUP(改修!A130,装備閲覧!$D$2:$D$503,1,0)</f>
        <v>九七式艦攻(友永隊)</v>
      </c>
    </row>
    <row r="131" spans="1:3" x14ac:dyDescent="0.4">
      <c r="A131" t="s">
        <v>424</v>
      </c>
      <c r="B131" t="s">
        <v>625</v>
      </c>
      <c r="C131" t="str">
        <f>VLOOKUP(改修!A131,装備閲覧!$D$2:$D$503,1,0)</f>
        <v>九七式艦攻改 試製三号戊型(空六号電探改装備機)</v>
      </c>
    </row>
    <row r="132" spans="1:3" x14ac:dyDescent="0.4">
      <c r="A132" t="s">
        <v>166</v>
      </c>
      <c r="B132" t="s">
        <v>625</v>
      </c>
      <c r="C132" t="str">
        <f>VLOOKUP(改修!A132,装備閲覧!$D$2:$D$503,1,0)</f>
        <v>九八式水上偵察機(夜偵)</v>
      </c>
    </row>
    <row r="133" spans="1:3" x14ac:dyDescent="0.4">
      <c r="A133" t="s">
        <v>60</v>
      </c>
      <c r="B133" t="s">
        <v>625</v>
      </c>
      <c r="C133" t="str">
        <f>VLOOKUP(改修!A133,装備閲覧!$D$2:$D$503,1,0)</f>
        <v>九六式艦戦</v>
      </c>
    </row>
    <row r="134" spans="1:3" x14ac:dyDescent="0.4">
      <c r="A134" t="s">
        <v>102</v>
      </c>
      <c r="B134" t="s">
        <v>625</v>
      </c>
      <c r="C134" t="str">
        <f>VLOOKUP(改修!A134,装備閲覧!$D$2:$D$503,1,0)</f>
        <v>三式水中探信儀</v>
      </c>
    </row>
    <row r="135" spans="1:3" x14ac:dyDescent="0.4">
      <c r="A135" t="s">
        <v>253</v>
      </c>
      <c r="B135" t="s">
        <v>625</v>
      </c>
      <c r="C135" t="str">
        <f>VLOOKUP(改修!A135,装備閲覧!$D$2:$D$503,1,0)</f>
        <v>三式戦 飛燕</v>
      </c>
    </row>
    <row r="136" spans="1:3" x14ac:dyDescent="0.4">
      <c r="A136" t="s">
        <v>85</v>
      </c>
      <c r="B136" t="s">
        <v>625</v>
      </c>
      <c r="C136" t="str">
        <f>VLOOKUP(改修!A136,装備閲覧!$D$2:$D$503,1,0)</f>
        <v>三式弾</v>
      </c>
    </row>
    <row r="137" spans="1:3" x14ac:dyDescent="0.4">
      <c r="A137" t="s">
        <v>397</v>
      </c>
      <c r="B137" t="s">
        <v>625</v>
      </c>
      <c r="C137" t="str">
        <f>VLOOKUP(改修!A137,装備閲覧!$D$2:$D$503,1,0)</f>
        <v>三式弾改</v>
      </c>
    </row>
    <row r="138" spans="1:3" x14ac:dyDescent="0.4">
      <c r="A138" t="s">
        <v>99</v>
      </c>
      <c r="B138" t="s">
        <v>625</v>
      </c>
      <c r="C138" t="str">
        <f>VLOOKUP(改修!A138,装備閲覧!$D$2:$D$503,1,0)</f>
        <v>三式爆雷投射機</v>
      </c>
    </row>
    <row r="139" spans="1:3" x14ac:dyDescent="0.4">
      <c r="A139" t="s">
        <v>222</v>
      </c>
      <c r="B139" t="s">
        <v>625</v>
      </c>
      <c r="C139" t="str">
        <f>VLOOKUP(改修!A139,装備閲覧!$D$2:$D$503,1,0)</f>
        <v>四式水中聴音機</v>
      </c>
    </row>
    <row r="140" spans="1:3" x14ac:dyDescent="0.4">
      <c r="A140" t="s">
        <v>280</v>
      </c>
      <c r="B140" t="s">
        <v>625</v>
      </c>
      <c r="C140" t="str">
        <f>VLOOKUP(改修!A140,装備閲覧!$D$2:$D$503,1,0)</f>
        <v>紫電一一型</v>
      </c>
    </row>
    <row r="141" spans="1:3" x14ac:dyDescent="0.4">
      <c r="A141" t="s">
        <v>167</v>
      </c>
      <c r="B141" t="s">
        <v>625</v>
      </c>
      <c r="C141" t="str">
        <f>VLOOKUP(改修!A141,装備閲覧!$D$2:$D$503,1,0)</f>
        <v>試製35.6cm三連装砲</v>
      </c>
    </row>
    <row r="142" spans="1:3" x14ac:dyDescent="0.4">
      <c r="A142" t="s">
        <v>169</v>
      </c>
      <c r="B142" t="s">
        <v>625</v>
      </c>
      <c r="C142" t="str">
        <f>VLOOKUP(改修!A142,装備閲覧!$D$2:$D$503,1,0)</f>
        <v>試製41cm三連装砲</v>
      </c>
    </row>
    <row r="143" spans="1:3" x14ac:dyDescent="0.4">
      <c r="A143" t="s">
        <v>183</v>
      </c>
      <c r="B143" t="s">
        <v>625</v>
      </c>
      <c r="C143" t="str">
        <f>VLOOKUP(改修!A143,装備閲覧!$D$2:$D$503,1,0)</f>
        <v>試製46cm連装砲</v>
      </c>
    </row>
    <row r="144" spans="1:3" x14ac:dyDescent="0.4">
      <c r="A144" t="s">
        <v>196</v>
      </c>
      <c r="B144" t="s">
        <v>625</v>
      </c>
      <c r="C144" t="str">
        <f>VLOOKUP(改修!A144,装備閲覧!$D$2:$D$503,1,0)</f>
        <v>試製51cm連装砲</v>
      </c>
    </row>
    <row r="145" spans="1:3" x14ac:dyDescent="0.4">
      <c r="A145" t="s">
        <v>256</v>
      </c>
      <c r="B145" t="s">
        <v>625</v>
      </c>
      <c r="C145" t="str">
        <f>VLOOKUP(改修!A145,装備閲覧!$D$2:$D$503,1,0)</f>
        <v>試製61cm六連装(酸素)魚雷</v>
      </c>
    </row>
    <row r="146" spans="1:3" x14ac:dyDescent="0.4">
      <c r="A146" t="s">
        <v>224</v>
      </c>
      <c r="B146" t="s">
        <v>625</v>
      </c>
      <c r="C146" t="str">
        <f>VLOOKUP(改修!A146,装備閲覧!$D$2:$D$503,1,0)</f>
        <v>試製景雲(艦偵型)</v>
      </c>
    </row>
    <row r="147" spans="1:3" x14ac:dyDescent="0.4">
      <c r="A147" t="s">
        <v>150</v>
      </c>
      <c r="B147" t="s">
        <v>625</v>
      </c>
      <c r="C147" t="str">
        <f>VLOOKUP(改修!A147,装備閲覧!$D$2:$D$503,1,0)</f>
        <v>新型高温高圧缶</v>
      </c>
    </row>
    <row r="148" spans="1:3" x14ac:dyDescent="0.4">
      <c r="A148" t="s">
        <v>71</v>
      </c>
      <c r="B148" t="s">
        <v>625</v>
      </c>
      <c r="C148" t="str">
        <f>VLOOKUP(改修!A148,装備閲覧!$D$2:$D$503,1,0)</f>
        <v>瑞雲</v>
      </c>
    </row>
    <row r="149" spans="1:3" x14ac:dyDescent="0.4">
      <c r="A149" t="s">
        <v>142</v>
      </c>
      <c r="B149" t="s">
        <v>625</v>
      </c>
      <c r="C149" t="str">
        <f>VLOOKUP(改修!A149,装備閲覧!$D$2:$D$503,1,0)</f>
        <v>瑞雲(六三四空)</v>
      </c>
    </row>
    <row r="150" spans="1:3" x14ac:dyDescent="0.4">
      <c r="A150" t="s">
        <v>640</v>
      </c>
      <c r="B150" t="s">
        <v>625</v>
      </c>
      <c r="C150" t="str">
        <f>VLOOKUP(改修!A150,装備閲覧!$D$2:$D$503,1,0)</f>
        <v>瑞雲(六三四空/熟練)</v>
      </c>
    </row>
    <row r="151" spans="1:3" x14ac:dyDescent="0.4">
      <c r="A151" t="s">
        <v>401</v>
      </c>
      <c r="B151" t="s">
        <v>625</v>
      </c>
      <c r="C151" t="str">
        <f>VLOOKUP(改修!A151,装備閲覧!$D$2:$D$503,1,0)</f>
        <v>瑞雲改二(六三四空)</v>
      </c>
    </row>
    <row r="152" spans="1:3" x14ac:dyDescent="0.4">
      <c r="A152" t="s">
        <v>217</v>
      </c>
      <c r="B152" t="s">
        <v>625</v>
      </c>
      <c r="C152" t="str">
        <f>VLOOKUP(改修!A152,装備閲覧!$D$2:$D$503,1,0)</f>
        <v>戦闘糧食</v>
      </c>
    </row>
    <row r="153" spans="1:3" x14ac:dyDescent="0.4">
      <c r="A153" t="s">
        <v>641</v>
      </c>
      <c r="B153" t="s">
        <v>625</v>
      </c>
      <c r="C153" t="str">
        <f>VLOOKUP(改修!A153,装備閲覧!$D$2:$D$503,1,0)</f>
        <v>潜水艦搭載電探&amp;水防式望遠鏡</v>
      </c>
    </row>
    <row r="154" spans="1:3" x14ac:dyDescent="0.4">
      <c r="A154" t="s">
        <v>135</v>
      </c>
      <c r="B154" t="s">
        <v>625</v>
      </c>
      <c r="C154" t="str">
        <f>VLOOKUP(改修!A154,装備閲覧!$D$2:$D$503,1,0)</f>
        <v>増設バルジ(大型艦)</v>
      </c>
    </row>
    <row r="155" spans="1:3" x14ac:dyDescent="0.4">
      <c r="A155" t="s">
        <v>133</v>
      </c>
      <c r="B155" t="s">
        <v>625</v>
      </c>
      <c r="C155" t="str">
        <f>VLOOKUP(改修!A155,装備閲覧!$D$2:$D$503,1,0)</f>
        <v>増設バルジ(中型艦)</v>
      </c>
    </row>
    <row r="156" spans="1:3" x14ac:dyDescent="0.4">
      <c r="A156" t="s">
        <v>126</v>
      </c>
      <c r="B156" t="s">
        <v>625</v>
      </c>
      <c r="C156" t="str">
        <f>VLOOKUP(改修!A156,装備閲覧!$D$2:$D$503,1,0)</f>
        <v>大発動艇</v>
      </c>
    </row>
    <row r="157" spans="1:3" x14ac:dyDescent="0.4">
      <c r="A157" t="s">
        <v>642</v>
      </c>
      <c r="B157" t="s">
        <v>625</v>
      </c>
      <c r="C157" t="str">
        <f>VLOOKUP(改修!A157,装備閲覧!$D$2:$D$503,1,0)</f>
        <v>大発動艇(八九式中戦車&amp;陸戦隊)</v>
      </c>
    </row>
    <row r="158" spans="1:3" x14ac:dyDescent="0.4">
      <c r="A158" t="s">
        <v>136</v>
      </c>
      <c r="B158" t="s">
        <v>625</v>
      </c>
      <c r="C158" t="str">
        <f>VLOOKUP(改修!A158,装備閲覧!$D$2:$D$503,1,0)</f>
        <v>探照灯</v>
      </c>
    </row>
    <row r="159" spans="1:3" x14ac:dyDescent="0.4">
      <c r="A159" t="s">
        <v>57</v>
      </c>
      <c r="B159" t="s">
        <v>625</v>
      </c>
      <c r="C159" t="str">
        <f>VLOOKUP(改修!A159,装備閲覧!$D$2:$D$503,1,0)</f>
        <v>天山</v>
      </c>
    </row>
    <row r="160" spans="1:3" x14ac:dyDescent="0.4">
      <c r="A160" t="s">
        <v>271</v>
      </c>
      <c r="B160" t="s">
        <v>625</v>
      </c>
      <c r="C160" t="str">
        <f>VLOOKUP(改修!A160,装備閲覧!$D$2:$D$503,1,0)</f>
        <v>特大発動艇</v>
      </c>
    </row>
    <row r="161" spans="1:3" x14ac:dyDescent="0.4">
      <c r="A161" t="s">
        <v>242</v>
      </c>
      <c r="B161" t="s">
        <v>625</v>
      </c>
      <c r="C161" t="str">
        <f>VLOOKUP(改修!A161,装備閲覧!$D$2:$D$503,1,0)</f>
        <v>特二式内火艇</v>
      </c>
    </row>
    <row r="162" spans="1:3" x14ac:dyDescent="0.4">
      <c r="A162" t="s">
        <v>426</v>
      </c>
      <c r="B162" t="s">
        <v>625</v>
      </c>
      <c r="C162" t="str">
        <f>VLOOKUP(改修!A162,装備閲覧!$D$2:$D$503,1,0)</f>
        <v>二式12cm迫撃砲改</v>
      </c>
    </row>
    <row r="163" spans="1:3" x14ac:dyDescent="0.4">
      <c r="A163" t="s">
        <v>118</v>
      </c>
      <c r="B163" t="s">
        <v>625</v>
      </c>
      <c r="C163" t="str">
        <f>VLOOKUP(改修!A163,装備閲覧!$D$2:$D$503,1,0)</f>
        <v>二式艦上偵察機</v>
      </c>
    </row>
    <row r="164" spans="1:3" x14ac:dyDescent="0.4">
      <c r="A164" t="s">
        <v>239</v>
      </c>
      <c r="B164" t="s">
        <v>625</v>
      </c>
      <c r="C164" t="str">
        <f>VLOOKUP(改修!A164,装備閲覧!$D$2:$D$503,1,0)</f>
        <v>二式水戦改</v>
      </c>
    </row>
    <row r="165" spans="1:3" x14ac:dyDescent="0.4">
      <c r="A165" t="s">
        <v>297</v>
      </c>
      <c r="B165" t="s">
        <v>625</v>
      </c>
      <c r="C165" t="str">
        <f>VLOOKUP(改修!A165,装備閲覧!$D$2:$D$503,1,0)</f>
        <v>二式水戦改(熟練)</v>
      </c>
    </row>
    <row r="166" spans="1:3" x14ac:dyDescent="0.4">
      <c r="A166" t="s">
        <v>61</v>
      </c>
      <c r="B166" t="s">
        <v>625</v>
      </c>
      <c r="C166" t="str">
        <f>VLOOKUP(改修!A166,装備閲覧!$D$2:$D$503,1,0)</f>
        <v>零式艦戦21型</v>
      </c>
    </row>
    <row r="167" spans="1:3" x14ac:dyDescent="0.4">
      <c r="A167" t="s">
        <v>160</v>
      </c>
      <c r="B167" t="s">
        <v>625</v>
      </c>
      <c r="C167" t="str">
        <f>VLOOKUP(改修!A167,装備閲覧!$D$2:$D$503,1,0)</f>
        <v>零式艦戦21型(熟練)</v>
      </c>
    </row>
    <row r="168" spans="1:3" x14ac:dyDescent="0.4">
      <c r="A168" t="s">
        <v>258</v>
      </c>
      <c r="B168" t="s">
        <v>625</v>
      </c>
      <c r="C168" t="str">
        <f>VLOOKUP(改修!A168,装備閲覧!$D$2:$D$503,1,0)</f>
        <v>零式艦戦32型</v>
      </c>
    </row>
    <row r="169" spans="1:3" x14ac:dyDescent="0.4">
      <c r="A169" t="s">
        <v>259</v>
      </c>
      <c r="B169" t="s">
        <v>625</v>
      </c>
      <c r="C169" t="str">
        <f>VLOOKUP(改修!A169,装備閲覧!$D$2:$D$503,1,0)</f>
        <v>零式艦戦32型(熟練)</v>
      </c>
    </row>
    <row r="170" spans="1:3" x14ac:dyDescent="0.4">
      <c r="A170" t="s">
        <v>62</v>
      </c>
      <c r="B170" t="s">
        <v>625</v>
      </c>
      <c r="C170" t="str">
        <f>VLOOKUP(改修!A170,装備閲覧!$D$2:$D$503,1,0)</f>
        <v>零式艦戦52型</v>
      </c>
    </row>
    <row r="171" spans="1:3" x14ac:dyDescent="0.4">
      <c r="A171" t="s">
        <v>225</v>
      </c>
      <c r="B171" t="s">
        <v>625</v>
      </c>
      <c r="C171" t="str">
        <f>VLOOKUP(改修!A171,装備閲覧!$D$2:$D$503,1,0)</f>
        <v>零式艦戦52型(熟練)</v>
      </c>
    </row>
    <row r="172" spans="1:3" x14ac:dyDescent="0.4">
      <c r="A172" t="s">
        <v>230</v>
      </c>
      <c r="B172" t="s">
        <v>625</v>
      </c>
      <c r="C172" t="str">
        <f>VLOOKUP(改修!A172,装備閲覧!$D$2:$D$503,1,0)</f>
        <v>零式艦戦53型(岩本隊)</v>
      </c>
    </row>
    <row r="173" spans="1:3" x14ac:dyDescent="0.4">
      <c r="A173" t="s">
        <v>117</v>
      </c>
      <c r="B173" t="s">
        <v>625</v>
      </c>
      <c r="C173" t="str">
        <f>VLOOKUP(改修!A173,装備閲覧!$D$2:$D$503,1,0)</f>
        <v>零式艦戦62型(爆戦)</v>
      </c>
    </row>
    <row r="174" spans="1:3" x14ac:dyDescent="0.4">
      <c r="A174" t="s">
        <v>300</v>
      </c>
      <c r="B174" t="s">
        <v>625</v>
      </c>
      <c r="C174" t="str">
        <f>VLOOKUP(改修!A174,装備閲覧!$D$2:$D$503,1,0)</f>
        <v>零式艦戦63型(爆戦)</v>
      </c>
    </row>
    <row r="175" spans="1:3" x14ac:dyDescent="0.4">
      <c r="A175" t="s">
        <v>116</v>
      </c>
      <c r="B175" t="s">
        <v>625</v>
      </c>
      <c r="C175" t="str">
        <f>VLOOKUP(改修!A175,装備閲覧!$D$2:$D$503,1,0)</f>
        <v>零式水上観測機</v>
      </c>
    </row>
    <row r="176" spans="1:3" x14ac:dyDescent="0.4">
      <c r="A176" t="s">
        <v>69</v>
      </c>
      <c r="B176" t="s">
        <v>625</v>
      </c>
      <c r="C176" t="str">
        <f>VLOOKUP(改修!A176,装備閲覧!$D$2:$D$503,1,0)</f>
        <v>零式水上偵察機</v>
      </c>
    </row>
    <row r="177" spans="1:3" x14ac:dyDescent="0.4">
      <c r="A177" t="s">
        <v>229</v>
      </c>
      <c r="B177" t="s">
        <v>625</v>
      </c>
      <c r="C177" t="str">
        <f>VLOOKUP(改修!A177,装備閲覧!$D$2:$D$503,1,0)</f>
        <v>零戦52型甲(付岩本小隊)</v>
      </c>
    </row>
    <row r="178" spans="1:3" x14ac:dyDescent="0.4">
      <c r="A178" t="s">
        <v>226</v>
      </c>
      <c r="B178" t="s">
        <v>625</v>
      </c>
      <c r="C178" t="str">
        <f>VLOOKUP(改修!A178,装備閲覧!$D$2:$D$503,1,0)</f>
        <v>零戦52型丙(付岩井小隊)</v>
      </c>
    </row>
    <row r="179" spans="1:3" x14ac:dyDescent="0.4">
      <c r="A179" t="s">
        <v>175</v>
      </c>
      <c r="B179" t="s">
        <v>625</v>
      </c>
      <c r="C179" t="str">
        <f>VLOOKUP(改修!A179,装備閲覧!$D$2:$D$503,1,0)</f>
        <v>零戦52型丙(六〇一空)</v>
      </c>
    </row>
    <row r="180" spans="1:3" x14ac:dyDescent="0.4">
      <c r="A180" t="s">
        <v>643</v>
      </c>
      <c r="B180" t="s">
        <v>625</v>
      </c>
      <c r="C180" t="str">
        <f>VLOOKUP(改修!A180,装備閲覧!$D$2:$D$503,1,0)</f>
        <v>零戦62型(爆戦/岩井隊)</v>
      </c>
    </row>
  </sheetData>
  <sortState xmlns:xlrd2="http://schemas.microsoft.com/office/spreadsheetml/2017/richdata2" ref="A1:A554">
    <sortCondition ref="A1:A554"/>
  </sortState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4CCE0-3CC1-4E61-AEA8-5ABC74FAF707}">
  <sheetPr codeName="Sheet6"/>
  <dimension ref="A1:E44"/>
  <sheetViews>
    <sheetView topLeftCell="A31" workbookViewId="0">
      <selection activeCell="E18" sqref="E18"/>
    </sheetView>
  </sheetViews>
  <sheetFormatPr defaultRowHeight="18.75" x14ac:dyDescent="0.4"/>
  <cols>
    <col min="1" max="1" width="44.75" bestFit="1" customWidth="1"/>
    <col min="3" max="3" width="40.125" bestFit="1" customWidth="1"/>
    <col min="4" max="4" width="9.375" bestFit="1" customWidth="1"/>
    <col min="5" max="5" width="39.5" bestFit="1" customWidth="1"/>
  </cols>
  <sheetData>
    <row r="1" spans="1:5" x14ac:dyDescent="0.4">
      <c r="A1" t="s">
        <v>745</v>
      </c>
      <c r="B1" t="s">
        <v>744</v>
      </c>
      <c r="C1" t="str">
        <f>LEFT(A1,FIND("★",A1,1)-1)</f>
        <v>烈風(六〇一空)</v>
      </c>
      <c r="D1" s="2">
        <f>_xlfn.NUMBERVALUE(RIGHT(A1,LEN(A1)-FIND("★",A1,1)))</f>
        <v>10</v>
      </c>
      <c r="E1" t="str">
        <f>VLOOKUP(C1,Sheet2!$C$2:$C$393,1,0)</f>
        <v>烈風(六〇一空)</v>
      </c>
    </row>
    <row r="2" spans="1:5" x14ac:dyDescent="0.4">
      <c r="A2" t="s">
        <v>746</v>
      </c>
      <c r="B2" t="s">
        <v>744</v>
      </c>
      <c r="C2" t="str">
        <f>LEFT(A2,FIND("★",A2,1)-1)</f>
        <v>彗星(江草隊)</v>
      </c>
      <c r="D2" s="2">
        <f>_xlfn.NUMBERVALUE(RIGHT(A2,LEN(A2)-FIND("★",A2,1)))</f>
        <v>10</v>
      </c>
      <c r="E2" t="str">
        <f>VLOOKUP(C2,Sheet2!$C$2:$C$393,1,0)</f>
        <v>彗星(江草隊)</v>
      </c>
    </row>
    <row r="3" spans="1:5" x14ac:dyDescent="0.4">
      <c r="A3" t="s">
        <v>748</v>
      </c>
      <c r="B3" t="s">
        <v>744</v>
      </c>
      <c r="C3" t="str">
        <f>LEFT(A3,FIND("★",A3,1)-1)</f>
        <v>天山一二型(友永隊)</v>
      </c>
      <c r="D3" s="2">
        <f>_xlfn.NUMBERVALUE(RIGHT(A3,LEN(A3)-FIND("★",A3,1)))</f>
        <v>10</v>
      </c>
      <c r="E3" t="str">
        <f>VLOOKUP(C3,Sheet2!$C$2:$C$393,1,0)</f>
        <v>天山一二型(友永隊)</v>
      </c>
    </row>
    <row r="4" spans="1:5" x14ac:dyDescent="0.4">
      <c r="A4" t="s">
        <v>644</v>
      </c>
      <c r="B4" t="s">
        <v>649</v>
      </c>
      <c r="C4" t="str">
        <f>LEFT(A4,FIND("★",A4,1)-1)</f>
        <v>零式水上偵察機11型乙</v>
      </c>
      <c r="D4" s="2">
        <f>_xlfn.NUMBERVALUE(RIGHT(A4,LEN(A4)-FIND("★",A4,1)))</f>
        <v>2</v>
      </c>
      <c r="E4" t="str">
        <f>VLOOKUP(C4,Sheet2!$C$2:$C$393,1,0)</f>
        <v>零式水上偵察機11型乙</v>
      </c>
    </row>
    <row r="5" spans="1:5" x14ac:dyDescent="0.4">
      <c r="A5" t="s">
        <v>645</v>
      </c>
      <c r="B5" t="s">
        <v>649</v>
      </c>
      <c r="C5" t="str">
        <f t="shared" ref="C5:C43" si="0">LEFT(A5,FIND("★",A5,1)-1)</f>
        <v>TBD</v>
      </c>
      <c r="D5" s="2">
        <f t="shared" ref="D5:D43" si="1">_xlfn.NUMBERVALUE(RIGHT(A5,LEN(A5)-FIND("★",A5,1)))</f>
        <v>3</v>
      </c>
      <c r="E5" t="str">
        <f>VLOOKUP(C5,Sheet2!$C$2:$C$393,1,0)</f>
        <v>TBD</v>
      </c>
    </row>
    <row r="6" spans="1:5" x14ac:dyDescent="0.4">
      <c r="A6" t="s">
        <v>646</v>
      </c>
      <c r="B6" t="s">
        <v>649</v>
      </c>
      <c r="C6" t="str">
        <f t="shared" si="0"/>
        <v>TBF</v>
      </c>
      <c r="D6" s="2">
        <f t="shared" si="1"/>
        <v>4</v>
      </c>
      <c r="E6" t="str">
        <f>VLOOKUP(C6,Sheet2!$C$2:$C$393,1,0)</f>
        <v>TBF</v>
      </c>
    </row>
    <row r="7" spans="1:5" x14ac:dyDescent="0.4">
      <c r="A7" t="s">
        <v>654</v>
      </c>
      <c r="B7" t="s">
        <v>649</v>
      </c>
      <c r="C7" t="str">
        <f t="shared" si="0"/>
        <v>一式陸攻 三四型</v>
      </c>
      <c r="D7" s="2">
        <f t="shared" si="1"/>
        <v>4</v>
      </c>
      <c r="E7" t="str">
        <f>VLOOKUP(C7,Sheet2!$C$2:$C$393,1,0)</f>
        <v>一式陸攻 三四型</v>
      </c>
    </row>
    <row r="8" spans="1:5" x14ac:dyDescent="0.4">
      <c r="A8" t="s">
        <v>647</v>
      </c>
      <c r="B8" t="s">
        <v>649</v>
      </c>
      <c r="C8" t="str">
        <f t="shared" si="0"/>
        <v>流星改(一航戦/熟練)</v>
      </c>
      <c r="D8" s="2">
        <f t="shared" si="1"/>
        <v>2</v>
      </c>
      <c r="E8" t="str">
        <f>VLOOKUP(C8,Sheet2!$C$2:$C$393,1,0)</f>
        <v>流星改(一航戦/熟練)</v>
      </c>
    </row>
    <row r="9" spans="1:5" x14ac:dyDescent="0.4">
      <c r="A9" t="s">
        <v>648</v>
      </c>
      <c r="B9" t="s">
        <v>649</v>
      </c>
      <c r="C9" t="str">
        <f t="shared" si="0"/>
        <v>彩雲</v>
      </c>
      <c r="D9" s="2">
        <f t="shared" si="1"/>
        <v>2</v>
      </c>
      <c r="E9" t="str">
        <f>VLOOKUP(C9,Sheet2!$C$2:$C$393,1,0)</f>
        <v>彩雲</v>
      </c>
    </row>
    <row r="10" spans="1:5" x14ac:dyDescent="0.4">
      <c r="A10" t="s">
        <v>655</v>
      </c>
      <c r="B10" t="s">
        <v>649</v>
      </c>
      <c r="C10" t="str">
        <f t="shared" si="0"/>
        <v>14cm連装砲改</v>
      </c>
      <c r="D10" s="2">
        <f t="shared" si="1"/>
        <v>8</v>
      </c>
      <c r="E10" t="str">
        <f>VLOOKUP(C10,Sheet2!$C$2:$C$393,1,0)</f>
        <v>14cm連装砲改</v>
      </c>
    </row>
    <row r="11" spans="1:5" x14ac:dyDescent="0.4">
      <c r="A11" t="s">
        <v>687</v>
      </c>
      <c r="B11" t="s">
        <v>650</v>
      </c>
      <c r="C11" t="str">
        <f t="shared" si="0"/>
        <v>120mm/50 連装砲 mod.1936</v>
      </c>
      <c r="D11" s="2">
        <f t="shared" si="1"/>
        <v>3</v>
      </c>
      <c r="E11" t="str">
        <f>VLOOKUP(C11,Sheet2!$C$2:$C$393,1,0)</f>
        <v>120mm/50 連装砲 mod.1936</v>
      </c>
    </row>
    <row r="12" spans="1:5" x14ac:dyDescent="0.4">
      <c r="A12" t="s">
        <v>688</v>
      </c>
      <c r="B12" t="s">
        <v>650</v>
      </c>
      <c r="C12" t="str">
        <f t="shared" si="0"/>
        <v>120mm/50 連装砲改 A.mod.1937</v>
      </c>
      <c r="D12" s="2">
        <f t="shared" si="1"/>
        <v>3</v>
      </c>
      <c r="E12" t="str">
        <f>VLOOKUP(C12,Sheet2!$C$2:$C$393,1,0)</f>
        <v>120mm/50 連装砲改 A.mod.1937</v>
      </c>
    </row>
    <row r="13" spans="1:5" x14ac:dyDescent="0.4">
      <c r="A13" t="s">
        <v>656</v>
      </c>
      <c r="B13" t="s">
        <v>650</v>
      </c>
      <c r="C13" t="str">
        <f t="shared" si="0"/>
        <v>一式陸攻(野中隊)</v>
      </c>
      <c r="D13" s="2">
        <f t="shared" si="1"/>
        <v>5</v>
      </c>
      <c r="E13" t="str">
        <f>VLOOKUP(C13,Sheet2!$C$2:$C$393,1,0)</f>
        <v>一式陸攻(野中隊)</v>
      </c>
    </row>
    <row r="14" spans="1:5" x14ac:dyDescent="0.4">
      <c r="A14" t="s">
        <v>657</v>
      </c>
      <c r="B14" t="s">
        <v>650</v>
      </c>
      <c r="C14" t="str">
        <f t="shared" si="0"/>
        <v>一式陸攻 二二型甲</v>
      </c>
      <c r="D14" s="2">
        <f t="shared" si="1"/>
        <v>3</v>
      </c>
      <c r="E14" t="str">
        <f>VLOOKUP(C14,Sheet2!$C$2:$C$393,1,0)</f>
        <v>一式陸攻 二二型甲</v>
      </c>
    </row>
    <row r="15" spans="1:5" x14ac:dyDescent="0.4">
      <c r="A15" t="s">
        <v>681</v>
      </c>
      <c r="B15" t="s">
        <v>650</v>
      </c>
      <c r="C15" t="str">
        <f>LEFT(A15,FIND("★",A15,1)-1)</f>
        <v>16inch三連装砲 Mk.6+GFCS</v>
      </c>
      <c r="D15" s="2">
        <f t="shared" si="1"/>
        <v>7</v>
      </c>
      <c r="E15" t="str">
        <f>VLOOKUP(C15,Sheet2!$C$2:$C$393,1,0)</f>
        <v>16inch三連装砲 Mk.6+GFCS</v>
      </c>
    </row>
    <row r="16" spans="1:5" x14ac:dyDescent="0.4">
      <c r="A16" t="s">
        <v>658</v>
      </c>
      <c r="B16" t="s">
        <v>650</v>
      </c>
      <c r="C16" t="str">
        <f t="shared" si="0"/>
        <v>銀河</v>
      </c>
      <c r="D16" s="2">
        <f t="shared" si="1"/>
        <v>3</v>
      </c>
      <c r="E16" t="str">
        <f>VLOOKUP(C16,Sheet2!$C$2:$C$393,1,0)</f>
        <v>銀河</v>
      </c>
    </row>
    <row r="17" spans="1:5" x14ac:dyDescent="0.4">
      <c r="A17" t="s">
        <v>747</v>
      </c>
      <c r="B17" t="s">
        <v>650</v>
      </c>
      <c r="C17" t="str">
        <f t="shared" si="0"/>
        <v>Ju87C改二(KMX搭載機)</v>
      </c>
      <c r="D17" s="2">
        <f t="shared" si="1"/>
        <v>1</v>
      </c>
      <c r="E17" t="str">
        <f>VLOOKUP(C17,Sheet2!$C$2:$C$393,1,0)</f>
        <v>Ju87C改二(KMX搭載機)</v>
      </c>
    </row>
    <row r="18" spans="1:5" x14ac:dyDescent="0.4">
      <c r="A18" t="s">
        <v>680</v>
      </c>
      <c r="B18" t="s">
        <v>650</v>
      </c>
      <c r="C18" t="str">
        <f t="shared" si="0"/>
        <v>16inch三連装砲 Mk.6 mod.2</v>
      </c>
      <c r="D18" s="2">
        <f t="shared" si="1"/>
        <v>10</v>
      </c>
      <c r="E18" t="str">
        <f>VLOOKUP(C18,Sheet2!$C$2:$C$393,1,0)</f>
        <v>16inch三連装砲 Mk.6 mod.2</v>
      </c>
    </row>
    <row r="19" spans="1:5" x14ac:dyDescent="0.4">
      <c r="A19" t="s">
        <v>659</v>
      </c>
      <c r="B19" t="s">
        <v>650</v>
      </c>
      <c r="C19" t="str">
        <f t="shared" si="0"/>
        <v>零式水上偵察機11型乙(熟練)</v>
      </c>
      <c r="D19" s="2">
        <f t="shared" si="1"/>
        <v>3</v>
      </c>
      <c r="E19" t="str">
        <f>VLOOKUP(C19,Sheet2!$C$2:$C$393,1,0)</f>
        <v>零式水上偵察機11型乙(熟練)</v>
      </c>
    </row>
    <row r="20" spans="1:5" x14ac:dyDescent="0.4">
      <c r="A20" t="s">
        <v>660</v>
      </c>
      <c r="B20" t="s">
        <v>650</v>
      </c>
      <c r="C20" t="str">
        <f t="shared" si="0"/>
        <v>16inch三連装砲 Mk.6</v>
      </c>
      <c r="D20" s="2">
        <f t="shared" si="1"/>
        <v>6</v>
      </c>
      <c r="E20" t="str">
        <f>VLOOKUP(C20,Sheet2!$C$2:$C$393,1,0)</f>
        <v>16inch三連装砲 Mk.6</v>
      </c>
    </row>
    <row r="21" spans="1:5" x14ac:dyDescent="0.4">
      <c r="A21" t="s">
        <v>661</v>
      </c>
      <c r="B21" t="s">
        <v>650</v>
      </c>
      <c r="C21" t="str">
        <f t="shared" si="0"/>
        <v>12.7cm単装高角砲改二</v>
      </c>
      <c r="D21" s="2">
        <f t="shared" si="1"/>
        <v>4</v>
      </c>
      <c r="E21" t="str">
        <f>VLOOKUP(C21,Sheet2!$C$2:$C$393,1,0)</f>
        <v>12.7cm単装高角砲改二</v>
      </c>
    </row>
    <row r="22" spans="1:5" x14ac:dyDescent="0.4">
      <c r="A22" t="s">
        <v>662</v>
      </c>
      <c r="B22" t="s">
        <v>650</v>
      </c>
      <c r="C22" t="str">
        <f t="shared" si="0"/>
        <v>SG レーダー(初期型)</v>
      </c>
      <c r="D22" s="2">
        <f t="shared" si="1"/>
        <v>4</v>
      </c>
      <c r="E22" t="str">
        <f>VLOOKUP(C22,Sheet2!$C$2:$C$393,1,0)</f>
        <v>SG レーダー(初期型)</v>
      </c>
    </row>
    <row r="23" spans="1:5" x14ac:dyDescent="0.4">
      <c r="A23" t="s">
        <v>684</v>
      </c>
      <c r="B23" t="s">
        <v>650</v>
      </c>
      <c r="C23" t="str">
        <f t="shared" si="0"/>
        <v>SK+SG レーダー</v>
      </c>
      <c r="D23" s="2">
        <f t="shared" si="1"/>
        <v>2</v>
      </c>
      <c r="E23" t="str">
        <f>VLOOKUP(C23,Sheet2!$C$2:$C$393,1,0)</f>
        <v>SK+SG レーダー</v>
      </c>
    </row>
    <row r="24" spans="1:5" x14ac:dyDescent="0.4">
      <c r="A24" t="s">
        <v>663</v>
      </c>
      <c r="B24" t="s">
        <v>650</v>
      </c>
      <c r="C24" t="str">
        <f t="shared" si="0"/>
        <v>5inch連装両用砲(集中配備)</v>
      </c>
      <c r="D24" s="2">
        <f t="shared" si="1"/>
        <v>3</v>
      </c>
      <c r="E24" t="str">
        <f>VLOOKUP(C24,Sheet2!$C$2:$C$393,1,0)</f>
        <v>5inch連装両用砲(集中配備)</v>
      </c>
    </row>
    <row r="25" spans="1:5" x14ac:dyDescent="0.4">
      <c r="A25" t="s">
        <v>664</v>
      </c>
      <c r="B25" t="s">
        <v>650</v>
      </c>
      <c r="C25" t="str">
        <f t="shared" si="0"/>
        <v>彗星一二型(三一号光電管爆弾搭載機)</v>
      </c>
      <c r="D25" s="2">
        <f t="shared" si="1"/>
        <v>3</v>
      </c>
      <c r="E25" t="str">
        <f>VLOOKUP(C25,Sheet2!$C$2:$C$393,1,0)</f>
        <v>彗星一二型(三一号光電管爆弾搭載機)</v>
      </c>
    </row>
    <row r="26" spans="1:5" x14ac:dyDescent="0.4">
      <c r="A26" t="s">
        <v>665</v>
      </c>
      <c r="B26" t="s">
        <v>650</v>
      </c>
      <c r="C26" t="str">
        <f t="shared" si="0"/>
        <v>6inch 連装速射砲 Mk.XXI</v>
      </c>
      <c r="D26" s="2">
        <f t="shared" si="1"/>
        <v>8</v>
      </c>
      <c r="E26" t="str">
        <f>VLOOKUP(C26,Sheet2!$C$2:$C$393,1,0)</f>
        <v>6inch 連装速射砲 Mk.XXI</v>
      </c>
    </row>
    <row r="27" spans="1:5" x14ac:dyDescent="0.4">
      <c r="A27" t="s">
        <v>666</v>
      </c>
      <c r="B27" t="s">
        <v>650</v>
      </c>
      <c r="C27" t="str">
        <f t="shared" si="0"/>
        <v>紫電改四</v>
      </c>
      <c r="D27" s="2">
        <f t="shared" si="1"/>
        <v>4</v>
      </c>
      <c r="E27" t="str">
        <f>VLOOKUP(C27,Sheet2!$C$2:$C$393,1,0)</f>
        <v>紫電改四</v>
      </c>
    </row>
    <row r="28" spans="1:5" x14ac:dyDescent="0.4">
      <c r="A28" t="s">
        <v>667</v>
      </c>
      <c r="B28" t="s">
        <v>650</v>
      </c>
      <c r="C28" t="str">
        <f t="shared" si="0"/>
        <v>5inch 単装高角砲群</v>
      </c>
      <c r="D28" s="2">
        <f t="shared" si="1"/>
        <v>4</v>
      </c>
      <c r="E28" t="str">
        <f>VLOOKUP(C28,Sheet2!$C$2:$C$393,1,0)</f>
        <v>5inch 単装高角砲群</v>
      </c>
    </row>
    <row r="29" spans="1:5" x14ac:dyDescent="0.4">
      <c r="A29" t="s">
        <v>668</v>
      </c>
      <c r="B29" t="s">
        <v>650</v>
      </c>
      <c r="C29" t="str">
        <f t="shared" si="0"/>
        <v>三式戦 飛燕(飛行第244戦隊)</v>
      </c>
      <c r="D29" s="2">
        <f t="shared" si="1"/>
        <v>5</v>
      </c>
      <c r="E29" t="str">
        <f>VLOOKUP(C29,Sheet2!$C$2:$C$393,1,0)</f>
        <v>三式戦 飛燕(飛行第244戦隊)</v>
      </c>
    </row>
    <row r="30" spans="1:5" x14ac:dyDescent="0.4">
      <c r="A30" t="s">
        <v>669</v>
      </c>
      <c r="B30" t="s">
        <v>650</v>
      </c>
      <c r="C30" t="str">
        <f t="shared" si="0"/>
        <v>三式戦 飛燕一型丁</v>
      </c>
      <c r="D30" s="2">
        <f t="shared" si="1"/>
        <v>3</v>
      </c>
      <c r="E30" t="str">
        <f>VLOOKUP(C30,Sheet2!$C$2:$C$393,1,0)</f>
        <v>三式戦 飛燕一型丁</v>
      </c>
    </row>
    <row r="31" spans="1:5" x14ac:dyDescent="0.4">
      <c r="A31" t="s">
        <v>670</v>
      </c>
      <c r="B31" t="s">
        <v>650</v>
      </c>
      <c r="C31" t="str">
        <f t="shared" si="0"/>
        <v>35.6cm三連装砲改(ダズル迷彩仕様)</v>
      </c>
      <c r="D31" s="2">
        <f t="shared" si="1"/>
        <v>4</v>
      </c>
      <c r="E31" t="str">
        <f>VLOOKUP(C31,Sheet2!$C$2:$C$393,1,0)</f>
        <v>35.6cm三連装砲改(ダズル迷彩仕様)</v>
      </c>
    </row>
    <row r="32" spans="1:5" x14ac:dyDescent="0.4">
      <c r="A32" t="s">
        <v>671</v>
      </c>
      <c r="B32" t="s">
        <v>650</v>
      </c>
      <c r="C32" t="str">
        <f t="shared" si="0"/>
        <v>瑞雲(六三一空)</v>
      </c>
      <c r="D32" s="2">
        <f t="shared" si="1"/>
        <v>4</v>
      </c>
      <c r="E32" t="str">
        <f>VLOOKUP(C32,Sheet2!$C$2:$C$393,1,0)</f>
        <v>瑞雲(六三一空)</v>
      </c>
    </row>
    <row r="33" spans="1:5" x14ac:dyDescent="0.4">
      <c r="A33" t="s">
        <v>686</v>
      </c>
      <c r="B33" t="s">
        <v>651</v>
      </c>
      <c r="C33" t="str">
        <f>LEFT(A33,FIND("★",A33,1)-1)</f>
        <v>天山一二型(村田隊)</v>
      </c>
      <c r="D33" s="2">
        <f>_xlfn.NUMBERVALUE(RIGHT(A33,LEN(A33)-FIND("★",A33,1)))</f>
        <v>2</v>
      </c>
      <c r="E33" t="str">
        <f>VLOOKUP(C33,Sheet2!$C$2:$C$393,1,0)</f>
        <v>天山一二型(村田隊)</v>
      </c>
    </row>
    <row r="34" spans="1:5" x14ac:dyDescent="0.4">
      <c r="A34" t="s">
        <v>682</v>
      </c>
      <c r="B34" t="s">
        <v>651</v>
      </c>
      <c r="C34" t="str">
        <f t="shared" si="0"/>
        <v>GFCS Mk.37+5inch連装両用砲(集中配備)</v>
      </c>
      <c r="D34" s="2">
        <f t="shared" si="1"/>
        <v>2</v>
      </c>
      <c r="E34" t="str">
        <f>VLOOKUP(C34,Sheet2!$C$2:$C$393,1,0)</f>
        <v>GFCS Mk.37+5inch連装両用砲(集中配備)</v>
      </c>
    </row>
    <row r="35" spans="1:5" x14ac:dyDescent="0.4">
      <c r="A35" t="s">
        <v>652</v>
      </c>
      <c r="B35" t="s">
        <v>651</v>
      </c>
      <c r="C35" t="str">
        <f t="shared" si="0"/>
        <v>甲標的 丙型</v>
      </c>
      <c r="D35" s="2">
        <f t="shared" si="1"/>
        <v>4</v>
      </c>
      <c r="E35" t="str">
        <f>VLOOKUP(C35,Sheet2!$C$2:$C$393,1,0)</f>
        <v>甲標的 丙型</v>
      </c>
    </row>
    <row r="36" spans="1:5" x14ac:dyDescent="0.4">
      <c r="A36" t="s">
        <v>672</v>
      </c>
      <c r="B36" t="s">
        <v>651</v>
      </c>
      <c r="C36" t="str">
        <f t="shared" si="0"/>
        <v>12.7cm連装砲D型改三</v>
      </c>
      <c r="D36" s="2">
        <f t="shared" si="1"/>
        <v>4</v>
      </c>
      <c r="E36" t="str">
        <f>VLOOKUP(C36,Sheet2!$C$2:$C$393,1,0)</f>
        <v>12.7cm連装砲D型改三</v>
      </c>
    </row>
    <row r="37" spans="1:5" x14ac:dyDescent="0.4">
      <c r="A37" t="s">
        <v>673</v>
      </c>
      <c r="B37" t="s">
        <v>651</v>
      </c>
      <c r="C37" t="str">
        <f t="shared" si="0"/>
        <v>四式戦 疾風</v>
      </c>
      <c r="D37" s="2">
        <f t="shared" si="1"/>
        <v>5</v>
      </c>
      <c r="E37" t="str">
        <f>VLOOKUP(C37,Sheet2!$C$2:$C$393,1,0)</f>
        <v>四式戦 疾風</v>
      </c>
    </row>
    <row r="38" spans="1:5" x14ac:dyDescent="0.4">
      <c r="A38" t="s">
        <v>674</v>
      </c>
      <c r="B38" t="s">
        <v>651</v>
      </c>
      <c r="C38" t="str">
        <f t="shared" si="0"/>
        <v>天山(九三一空)</v>
      </c>
      <c r="D38" s="2">
        <f t="shared" si="1"/>
        <v>2</v>
      </c>
      <c r="E38" t="str">
        <f>VLOOKUP(C38,Sheet2!$C$2:$C$393,1,0)</f>
        <v>天山(九三一空)</v>
      </c>
    </row>
    <row r="39" spans="1:5" x14ac:dyDescent="0.4">
      <c r="A39" t="s">
        <v>675</v>
      </c>
      <c r="B39" t="s">
        <v>651</v>
      </c>
      <c r="C39" t="str">
        <f t="shared" si="0"/>
        <v>彩雲(偵四)</v>
      </c>
      <c r="D39" s="2">
        <f t="shared" si="1"/>
        <v>2</v>
      </c>
      <c r="E39" t="str">
        <f>VLOOKUP(C39,Sheet2!$C$2:$C$393,1,0)</f>
        <v>彩雲(偵四)</v>
      </c>
    </row>
    <row r="40" spans="1:5" x14ac:dyDescent="0.4">
      <c r="A40" t="s">
        <v>676</v>
      </c>
      <c r="B40" t="s">
        <v>651</v>
      </c>
      <c r="C40" t="str">
        <f t="shared" si="0"/>
        <v>二式陸上偵察機(熟練)</v>
      </c>
      <c r="D40" s="2">
        <f t="shared" si="1"/>
        <v>2</v>
      </c>
      <c r="E40" t="str">
        <f>VLOOKUP(C40,Sheet2!$C$2:$C$393,1,0)</f>
        <v>二式陸上偵察機(熟練)</v>
      </c>
    </row>
    <row r="41" spans="1:5" x14ac:dyDescent="0.4">
      <c r="A41" t="s">
        <v>677</v>
      </c>
      <c r="B41" t="s">
        <v>651</v>
      </c>
      <c r="C41" t="str">
        <f t="shared" si="0"/>
        <v>6inch三連装速射砲 Mk.16</v>
      </c>
      <c r="D41" s="2">
        <f t="shared" si="1"/>
        <v>7</v>
      </c>
      <c r="E41" t="str">
        <f>VLOOKUP(C41,Sheet2!$C$2:$C$393,1,0)</f>
        <v>6inch三連装速射砲 Mk.16</v>
      </c>
    </row>
    <row r="42" spans="1:5" x14ac:dyDescent="0.4">
      <c r="A42" t="s">
        <v>678</v>
      </c>
      <c r="B42" t="s">
        <v>651</v>
      </c>
      <c r="C42" t="str">
        <f t="shared" si="0"/>
        <v>二式大艇</v>
      </c>
      <c r="D42" s="2">
        <f t="shared" si="1"/>
        <v>4</v>
      </c>
      <c r="E42" t="str">
        <f>VLOOKUP(C42,Sheet2!$C$2:$C$393,1,0)</f>
        <v>二式大艇</v>
      </c>
    </row>
    <row r="43" spans="1:5" x14ac:dyDescent="0.4">
      <c r="A43" t="s">
        <v>679</v>
      </c>
      <c r="B43" t="s">
        <v>651</v>
      </c>
      <c r="C43" t="str">
        <f t="shared" si="0"/>
        <v>九七式艦攻(村田隊)</v>
      </c>
      <c r="D43" s="2">
        <f t="shared" si="1"/>
        <v>2</v>
      </c>
      <c r="E43" t="str">
        <f>VLOOKUP(C43,Sheet2!$C$2:$C$393,1,0)</f>
        <v>九七式艦攻(村田隊)</v>
      </c>
    </row>
    <row r="44" spans="1:5" x14ac:dyDescent="0.4">
      <c r="D44" s="2">
        <f>SUM(D4:D43)</f>
        <v>153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280F8-43DB-4A0E-8704-24AF85C51D5D}">
  <sheetPr codeName="Sheet7"/>
  <dimension ref="A1:C148"/>
  <sheetViews>
    <sheetView workbookViewId="0">
      <selection activeCell="A58" sqref="A58"/>
    </sheetView>
  </sheetViews>
  <sheetFormatPr defaultRowHeight="18.75" x14ac:dyDescent="0.4"/>
  <cols>
    <col min="1" max="1" width="62.5" bestFit="1" customWidth="1"/>
    <col min="2" max="2" width="52.25" bestFit="1" customWidth="1"/>
  </cols>
  <sheetData>
    <row r="1" spans="1:3" x14ac:dyDescent="0.4">
      <c r="A1" t="s">
        <v>373</v>
      </c>
      <c r="B1" t="str">
        <f>VLOOKUP(A1,装備閲覧!D:D,1,0)</f>
        <v>12.7cm連装砲A型改二</v>
      </c>
      <c r="C1" t="s">
        <v>625</v>
      </c>
    </row>
    <row r="2" spans="1:3" x14ac:dyDescent="0.4">
      <c r="A2" t="s">
        <v>630</v>
      </c>
      <c r="B2" t="str">
        <f>VLOOKUP(A2,装備閲覧!D:D,1,0)</f>
        <v>12.7cm連装砲A型改三(戦時改修)+高射装置</v>
      </c>
      <c r="C2" t="s">
        <v>625</v>
      </c>
    </row>
    <row r="3" spans="1:3" x14ac:dyDescent="0.4">
      <c r="A3" t="s">
        <v>631</v>
      </c>
      <c r="B3" t="str">
        <f>VLOOKUP(A3,装備閲覧!D:D,1,0)</f>
        <v>12.7cm連装砲B型改四(戦時改修)+高射装置</v>
      </c>
      <c r="C3" t="s">
        <v>625</v>
      </c>
    </row>
    <row r="4" spans="1:3" x14ac:dyDescent="0.4">
      <c r="A4" t="s">
        <v>345</v>
      </c>
      <c r="B4" t="str">
        <f>VLOOKUP(A4,装備閲覧!D:D,1,0)</f>
        <v>12.7cm連装砲C型改二</v>
      </c>
      <c r="C4" t="s">
        <v>625</v>
      </c>
    </row>
    <row r="5" spans="1:3" x14ac:dyDescent="0.4">
      <c r="A5" t="s">
        <v>346</v>
      </c>
      <c r="B5" t="str">
        <f>VLOOKUP(A5,装備閲覧!D:D,1,0)</f>
        <v>12.7cm連装砲D型改二</v>
      </c>
      <c r="C5" t="s">
        <v>625</v>
      </c>
    </row>
    <row r="6" spans="1:3" x14ac:dyDescent="0.4">
      <c r="A6" t="s">
        <v>446</v>
      </c>
      <c r="B6" t="str">
        <f>VLOOKUP(A6,装備閲覧!D:D,1,0)</f>
        <v>12.7cm連装砲D型改三</v>
      </c>
      <c r="C6" t="s">
        <v>625</v>
      </c>
    </row>
    <row r="7" spans="1:3" x14ac:dyDescent="0.4">
      <c r="A7" t="s">
        <v>372</v>
      </c>
      <c r="B7" t="str">
        <f>VLOOKUP(A7,装備閲覧!D:D,1,0)</f>
        <v>12cm単装砲改二</v>
      </c>
      <c r="C7" t="s">
        <v>625</v>
      </c>
    </row>
    <row r="8" spans="1:3" x14ac:dyDescent="0.4">
      <c r="A8" t="s">
        <v>310</v>
      </c>
      <c r="B8" t="str">
        <f>VLOOKUP(A8,装備閲覧!D:D,1,0)</f>
        <v>12.7cm単装高角砲(後期型)</v>
      </c>
      <c r="C8" t="s">
        <v>625</v>
      </c>
    </row>
    <row r="9" spans="1:3" x14ac:dyDescent="0.4">
      <c r="A9" t="s">
        <v>459</v>
      </c>
      <c r="B9" t="str">
        <f>VLOOKUP(A9,装備閲覧!D:D,1,0)</f>
        <v>12.7cm単装高角砲改二</v>
      </c>
      <c r="C9" t="s">
        <v>625</v>
      </c>
    </row>
    <row r="10" spans="1:3" x14ac:dyDescent="0.4">
      <c r="A10" t="s">
        <v>460</v>
      </c>
      <c r="B10" t="str">
        <f>VLOOKUP(A10,装備閲覧!D:D,1,0)</f>
        <v>12.7cm連装高角砲改二</v>
      </c>
      <c r="C10" t="s">
        <v>625</v>
      </c>
    </row>
    <row r="11" spans="1:3" x14ac:dyDescent="0.4">
      <c r="A11" t="s">
        <v>462</v>
      </c>
      <c r="B11" t="str">
        <f>VLOOKUP(A11,装備閲覧!D:D,1,0)</f>
        <v>12cm単装高角砲E型</v>
      </c>
      <c r="C11" t="s">
        <v>625</v>
      </c>
    </row>
    <row r="12" spans="1:3" x14ac:dyDescent="0.4">
      <c r="A12" t="s">
        <v>376</v>
      </c>
      <c r="B12" t="str">
        <f>VLOOKUP(A12,装備閲覧!D:D,1,0)</f>
        <v>12.7cm連装砲A型</v>
      </c>
      <c r="C12" t="s">
        <v>625</v>
      </c>
    </row>
    <row r="13" spans="1:3" x14ac:dyDescent="0.4">
      <c r="A13" t="s">
        <v>120</v>
      </c>
      <c r="B13" t="str">
        <f>VLOOKUP(A13,装備閲覧!D:D,1,0)</f>
        <v>12.7cm連装砲B型改二</v>
      </c>
      <c r="C13" t="s">
        <v>625</v>
      </c>
    </row>
    <row r="14" spans="1:3" x14ac:dyDescent="0.4">
      <c r="A14" t="s">
        <v>705</v>
      </c>
      <c r="B14" t="str">
        <f>VLOOKUP(A14,装備閲覧!D:D,1,0)</f>
        <v>5inch単装砲 Mk.30改</v>
      </c>
      <c r="C14" t="s">
        <v>625</v>
      </c>
    </row>
    <row r="15" spans="1:3" x14ac:dyDescent="0.4">
      <c r="A15" t="s">
        <v>704</v>
      </c>
      <c r="B15" t="str">
        <f>VLOOKUP(A15,装備閲覧!D:D,1,0)</f>
        <v>5inch単装砲 Mk.30改+GFCS Mk.37</v>
      </c>
      <c r="C15" t="s">
        <v>625</v>
      </c>
    </row>
    <row r="16" spans="1:3" x14ac:dyDescent="0.4">
      <c r="A16" t="s">
        <v>361</v>
      </c>
      <c r="B16" t="str">
        <f>VLOOKUP(A16,装備閲覧!D:D,1,0)</f>
        <v>130mm B-13連装砲</v>
      </c>
      <c r="C16" t="s">
        <v>625</v>
      </c>
    </row>
    <row r="17" spans="1:3" x14ac:dyDescent="0.4">
      <c r="A17" t="s">
        <v>706</v>
      </c>
      <c r="B17" t="str">
        <f>VLOOKUP(A17,装備閲覧!D:D,1,0)</f>
        <v>120mm/50 連装砲</v>
      </c>
      <c r="C17" t="s">
        <v>625</v>
      </c>
    </row>
    <row r="18" spans="1:3" x14ac:dyDescent="0.4">
      <c r="A18" t="s">
        <v>592</v>
      </c>
      <c r="B18" t="str">
        <f>VLOOKUP(A18,装備閲覧!D:D,1,0)</f>
        <v>120mm/50 連装砲 mod.1936</v>
      </c>
      <c r="C18" t="s">
        <v>625</v>
      </c>
    </row>
    <row r="19" spans="1:3" x14ac:dyDescent="0.4">
      <c r="A19" t="s">
        <v>594</v>
      </c>
      <c r="B19" t="str">
        <f>VLOOKUP(A19,装備閲覧!D:D,1,0)</f>
        <v>120mm/50 連装砲改 A.mod.1937</v>
      </c>
      <c r="C19" t="s">
        <v>625</v>
      </c>
    </row>
    <row r="20" spans="1:3" x14ac:dyDescent="0.4">
      <c r="A20" t="s">
        <v>153</v>
      </c>
      <c r="B20" t="str">
        <f>VLOOKUP(A20,装備閲覧!D:D,1,0)</f>
        <v>20.3cm(2号)連装砲</v>
      </c>
      <c r="C20" t="s">
        <v>625</v>
      </c>
    </row>
    <row r="21" spans="1:3" x14ac:dyDescent="0.4">
      <c r="A21" t="s">
        <v>105</v>
      </c>
      <c r="B21" t="str">
        <f>VLOOKUP(A21,装備閲覧!D:D,1,0)</f>
        <v>20.3cm(3号)連装砲</v>
      </c>
      <c r="C21" t="s">
        <v>625</v>
      </c>
    </row>
    <row r="22" spans="1:3" x14ac:dyDescent="0.4">
      <c r="A22" t="s">
        <v>389</v>
      </c>
      <c r="B22" t="str">
        <f>VLOOKUP(A22,装備閲覧!D:D,1,0)</f>
        <v>14cm連装砲改</v>
      </c>
      <c r="C22" t="s">
        <v>625</v>
      </c>
    </row>
    <row r="23" spans="1:3" x14ac:dyDescent="0.4">
      <c r="A23" t="s">
        <v>637</v>
      </c>
      <c r="B23" t="str">
        <f>VLOOKUP(A23,装備閲覧!D:D,1,0)</f>
        <v>Bofors 15.2cm連装砲 Model 1930</v>
      </c>
      <c r="C23" t="s">
        <v>625</v>
      </c>
    </row>
    <row r="24" spans="1:3" x14ac:dyDescent="0.4">
      <c r="A24" t="s">
        <v>185</v>
      </c>
      <c r="B24" t="str">
        <f>VLOOKUP(A24,装備閲覧!D:D,1,0)</f>
        <v>14cm連装砲</v>
      </c>
      <c r="C24" t="s">
        <v>625</v>
      </c>
    </row>
    <row r="25" spans="1:3" x14ac:dyDescent="0.4">
      <c r="A25" t="s">
        <v>420</v>
      </c>
      <c r="B25" t="str">
        <f>VLOOKUP(A25,装備閲覧!D:D,1,0)</f>
        <v>152mm/55 三連装速射砲</v>
      </c>
      <c r="C25" t="s">
        <v>625</v>
      </c>
    </row>
    <row r="26" spans="1:3" x14ac:dyDescent="0.4">
      <c r="A26" t="s">
        <v>421</v>
      </c>
      <c r="B26" t="str">
        <f>VLOOKUP(A26,装備閲覧!D:D,1,0)</f>
        <v>152mm/55 三連装速射砲改</v>
      </c>
      <c r="C26" t="s">
        <v>625</v>
      </c>
    </row>
    <row r="27" spans="1:3" x14ac:dyDescent="0.4">
      <c r="A27" t="s">
        <v>439</v>
      </c>
      <c r="B27" t="str">
        <f>VLOOKUP(A27,装備閲覧!D:D,1,0)</f>
        <v>6inch 連装速射砲 Mk.XXI</v>
      </c>
      <c r="C27" t="s">
        <v>625</v>
      </c>
    </row>
    <row r="28" spans="1:3" x14ac:dyDescent="0.4">
      <c r="A28" t="s">
        <v>436</v>
      </c>
      <c r="B28" t="str">
        <f>VLOOKUP(A28,装備閲覧!D:D,1,0)</f>
        <v>8inch三連装砲 Mk.9</v>
      </c>
      <c r="C28" t="s">
        <v>625</v>
      </c>
    </row>
    <row r="29" spans="1:3" x14ac:dyDescent="0.4">
      <c r="A29" t="s">
        <v>437</v>
      </c>
      <c r="B29" t="str">
        <f>VLOOKUP(A29,装備閲覧!D:D,1,0)</f>
        <v>8inch三連装砲 Mk.9 mod.2</v>
      </c>
      <c r="C29" t="s">
        <v>625</v>
      </c>
    </row>
    <row r="30" spans="1:3" x14ac:dyDescent="0.4">
      <c r="A30" t="s">
        <v>440</v>
      </c>
      <c r="B30" t="str">
        <f>VLOOKUP(A30,装備閲覧!D:D,1,0)</f>
        <v>Bofors 15cm連装速射砲 Mk.9 Model 1938</v>
      </c>
      <c r="C30" t="s">
        <v>625</v>
      </c>
    </row>
    <row r="31" spans="1:3" x14ac:dyDescent="0.4">
      <c r="A31" t="s">
        <v>707</v>
      </c>
      <c r="B31" t="str">
        <f>VLOOKUP(A31,装備閲覧!D:D,1,0)</f>
        <v>Bofors 15cm連装速射砲 Mk.9改+単装速射砲 Mk.10改 Model 1938</v>
      </c>
      <c r="C31" t="s">
        <v>625</v>
      </c>
    </row>
    <row r="32" spans="1:3" x14ac:dyDescent="0.4">
      <c r="A32" t="s">
        <v>442</v>
      </c>
      <c r="B32" t="str">
        <f>VLOOKUP(A32,装備閲覧!D:D,1,0)</f>
        <v>5inch連装両用砲(集中配備)</v>
      </c>
      <c r="C32" t="s">
        <v>625</v>
      </c>
    </row>
    <row r="33" spans="1:3" x14ac:dyDescent="0.4">
      <c r="A33" t="s">
        <v>708</v>
      </c>
      <c r="B33" t="str">
        <f>VLOOKUP(A33,装備閲覧!D:D,1,0)</f>
        <v>GFCS Mk.37+5inch連装両用砲(集中配備)</v>
      </c>
      <c r="C33" t="s">
        <v>625</v>
      </c>
    </row>
    <row r="34" spans="1:3" x14ac:dyDescent="0.4">
      <c r="A34" t="s">
        <v>466</v>
      </c>
      <c r="B34" t="str">
        <f>VLOOKUP(A34,装備閲覧!D:D,1,0)</f>
        <v>6inch三連装速射砲 Mk.16</v>
      </c>
      <c r="C34" t="s">
        <v>625</v>
      </c>
    </row>
    <row r="35" spans="1:3" x14ac:dyDescent="0.4">
      <c r="A35" t="s">
        <v>467</v>
      </c>
      <c r="B35" t="str">
        <f>VLOOKUP(A35,装備閲覧!D:D,1,0)</f>
        <v>6inch三連装速射砲 Mk.16 mod.2</v>
      </c>
      <c r="C35" t="s">
        <v>625</v>
      </c>
    </row>
    <row r="36" spans="1:3" x14ac:dyDescent="0.4">
      <c r="A36" t="s">
        <v>368</v>
      </c>
      <c r="B36" t="str">
        <f>VLOOKUP(A36,装備閲覧!D:D,1,0)</f>
        <v>35.6cm三連装砲改(ダズル迷彩仕様)</v>
      </c>
      <c r="C36" t="s">
        <v>625</v>
      </c>
    </row>
    <row r="37" spans="1:3" x14ac:dyDescent="0.4">
      <c r="A37" t="s">
        <v>369</v>
      </c>
      <c r="B37" t="str">
        <f>VLOOKUP(A37,装備閲覧!D:D,1,0)</f>
        <v>41cm三連装砲改二</v>
      </c>
      <c r="C37" t="s">
        <v>625</v>
      </c>
    </row>
    <row r="38" spans="1:3" x14ac:dyDescent="0.4">
      <c r="A38" t="s">
        <v>398</v>
      </c>
      <c r="B38" t="str">
        <f>VLOOKUP(A38,装備閲覧!D:D,1,0)</f>
        <v>41cm連装砲改二</v>
      </c>
      <c r="C38" t="s">
        <v>625</v>
      </c>
    </row>
    <row r="39" spans="1:3" x14ac:dyDescent="0.4">
      <c r="A39" t="s">
        <v>168</v>
      </c>
      <c r="B39" t="str">
        <f>VLOOKUP(A39,装備閲覧!D:D,1,0)</f>
        <v>35.6cm連装砲(ダズル迷彩)</v>
      </c>
      <c r="C39" t="s">
        <v>625</v>
      </c>
    </row>
    <row r="40" spans="1:3" x14ac:dyDescent="0.4">
      <c r="A40" t="s">
        <v>377</v>
      </c>
      <c r="B40" t="str">
        <f>VLOOKUP(A40,装備閲覧!D:D,1,0)</f>
        <v>16inch Mk.I三連装砲</v>
      </c>
      <c r="C40" t="s">
        <v>625</v>
      </c>
    </row>
    <row r="41" spans="1:3" x14ac:dyDescent="0.4">
      <c r="A41" t="s">
        <v>709</v>
      </c>
      <c r="B41" t="str">
        <f>VLOOKUP(A41,装備閲覧!D:D,1,0)</f>
        <v>16inch Mk.I三連装砲+AFCT改</v>
      </c>
      <c r="C41" t="s">
        <v>625</v>
      </c>
    </row>
    <row r="42" spans="1:3" x14ac:dyDescent="0.4">
      <c r="A42" t="s">
        <v>710</v>
      </c>
      <c r="B42" t="str">
        <f>VLOOKUP(A42,装備閲覧!D:D,1,0)</f>
        <v>16inch Mk.I三連装砲改+FCR type284</v>
      </c>
      <c r="C42" t="s">
        <v>625</v>
      </c>
    </row>
    <row r="43" spans="1:3" x14ac:dyDescent="0.4">
      <c r="A43" t="s">
        <v>408</v>
      </c>
      <c r="B43" t="str">
        <f>VLOOKUP(A43,装備閲覧!D:D,1,0)</f>
        <v>35.6cm連装砲改</v>
      </c>
      <c r="C43" t="s">
        <v>625</v>
      </c>
    </row>
    <row r="44" spans="1:3" x14ac:dyDescent="0.4">
      <c r="A44" t="s">
        <v>409</v>
      </c>
      <c r="B44" t="str">
        <f>VLOOKUP(A44,装備閲覧!D:D,1,0)</f>
        <v>35.6cm連装砲改二</v>
      </c>
      <c r="C44" t="s">
        <v>625</v>
      </c>
    </row>
    <row r="45" spans="1:3" x14ac:dyDescent="0.4">
      <c r="A45" t="s">
        <v>410</v>
      </c>
      <c r="B45" t="str">
        <f>VLOOKUP(A45,装備閲覧!D:D,1,0)</f>
        <v>16inch Mk.I連装砲</v>
      </c>
      <c r="C45" t="s">
        <v>625</v>
      </c>
    </row>
    <row r="46" spans="1:3" x14ac:dyDescent="0.4">
      <c r="A46" t="s">
        <v>411</v>
      </c>
      <c r="B46" t="str">
        <f>VLOOKUP(A46,装備閲覧!D:D,1,0)</f>
        <v>16inch Mk.V連装砲</v>
      </c>
      <c r="C46" t="s">
        <v>625</v>
      </c>
    </row>
    <row r="47" spans="1:3" x14ac:dyDescent="0.4">
      <c r="A47" t="s">
        <v>412</v>
      </c>
      <c r="B47" t="str">
        <f>VLOOKUP(A47,装備閲覧!D:D,1,0)</f>
        <v>16inch Mk.VIII連装砲改</v>
      </c>
      <c r="C47" t="s">
        <v>625</v>
      </c>
    </row>
    <row r="48" spans="1:3" x14ac:dyDescent="0.4">
      <c r="A48" t="s">
        <v>461</v>
      </c>
      <c r="B48" t="str">
        <f>VLOOKUP(A48,装備閲覧!D:D,1,0)</f>
        <v>16inch三連装砲 Mk.6</v>
      </c>
      <c r="C48" t="s">
        <v>625</v>
      </c>
    </row>
    <row r="49" spans="1:3" x14ac:dyDescent="0.4">
      <c r="A49" t="s">
        <v>465</v>
      </c>
      <c r="B49" t="str">
        <f>VLOOKUP(A49,装備閲覧!D:D,1,0)</f>
        <v>16inch三連装砲 Mk.6 mod.2</v>
      </c>
      <c r="C49" t="s">
        <v>625</v>
      </c>
    </row>
    <row r="50" spans="1:3" x14ac:dyDescent="0.4">
      <c r="A50" t="s">
        <v>711</v>
      </c>
      <c r="B50" t="str">
        <f>VLOOKUP(A50,装備閲覧!D:D,1,0)</f>
        <v>16inch三連装砲 Mk.6+GFCS</v>
      </c>
      <c r="C50" t="s">
        <v>625</v>
      </c>
    </row>
    <row r="51" spans="1:3" x14ac:dyDescent="0.4">
      <c r="A51" t="s">
        <v>438</v>
      </c>
      <c r="B51" t="str">
        <f>VLOOKUP(A51,装備閲覧!D:D,1,0)</f>
        <v>5inch 単装高角砲群</v>
      </c>
      <c r="C51" t="s">
        <v>625</v>
      </c>
    </row>
    <row r="52" spans="1:3" x14ac:dyDescent="0.4">
      <c r="A52" t="s">
        <v>250</v>
      </c>
      <c r="B52" t="str">
        <f>VLOOKUP(A52,装備閲覧!D:D,1,0)</f>
        <v>53cm連装魚雷</v>
      </c>
      <c r="C52" t="s">
        <v>625</v>
      </c>
    </row>
    <row r="53" spans="1:3" x14ac:dyDescent="0.4">
      <c r="A53" t="s">
        <v>364</v>
      </c>
      <c r="B53" t="str">
        <f>VLOOKUP(A53,装備閲覧!D:D,1,0)</f>
        <v>61cm三連装(酸素)魚雷後期型</v>
      </c>
      <c r="C53" t="s">
        <v>625</v>
      </c>
    </row>
    <row r="54" spans="1:3" x14ac:dyDescent="0.4">
      <c r="A54" t="s">
        <v>365</v>
      </c>
      <c r="B54" t="str">
        <f>VLOOKUP(A54,装備閲覧!D:D,1,0)</f>
        <v>61cm四連装(酸素)魚雷後期型</v>
      </c>
      <c r="C54" t="s">
        <v>625</v>
      </c>
    </row>
    <row r="55" spans="1:3" x14ac:dyDescent="0.4">
      <c r="A55" t="s">
        <v>463</v>
      </c>
      <c r="B55" t="str">
        <f>VLOOKUP(A55,装備閲覧!D:D,1,0)</f>
        <v>後期型53cm艦首魚雷(8門)</v>
      </c>
      <c r="C55" t="s">
        <v>625</v>
      </c>
    </row>
    <row r="56" spans="1:3" x14ac:dyDescent="0.4">
      <c r="A56" t="s">
        <v>362</v>
      </c>
      <c r="B56" t="str">
        <f>VLOOKUP(A56,装備閲覧!D:D,1,0)</f>
        <v>533mm 三連装魚雷</v>
      </c>
      <c r="C56" t="s">
        <v>625</v>
      </c>
    </row>
    <row r="57" spans="1:3" x14ac:dyDescent="0.4">
      <c r="A57" t="s">
        <v>394</v>
      </c>
      <c r="B57" t="str">
        <f>VLOOKUP(A57,装備閲覧!D:D,1,0)</f>
        <v>533mm五連装魚雷(初期型)</v>
      </c>
      <c r="C57" t="s">
        <v>625</v>
      </c>
    </row>
    <row r="58" spans="1:3" x14ac:dyDescent="0.4">
      <c r="A58" t="s">
        <v>456</v>
      </c>
      <c r="B58" t="str">
        <f>VLOOKUP(A58,装備閲覧!D:D,1,0)</f>
        <v>533mm五連装魚雷(後期型)</v>
      </c>
      <c r="C58" t="s">
        <v>625</v>
      </c>
    </row>
    <row r="59" spans="1:3" x14ac:dyDescent="0.4">
      <c r="A59" t="s">
        <v>53</v>
      </c>
      <c r="B59" t="str">
        <f>VLOOKUP(A59,装備閲覧!D:D,1,0)</f>
        <v>61cm四連装(酸素)魚雷</v>
      </c>
      <c r="C59" t="s">
        <v>625</v>
      </c>
    </row>
    <row r="60" spans="1:3" x14ac:dyDescent="0.4">
      <c r="A60" t="s">
        <v>115</v>
      </c>
      <c r="B60" t="str">
        <f>VLOOKUP(A60,装備閲覧!D:D,1,0)</f>
        <v>61cm五連装(酸素)魚雷</v>
      </c>
      <c r="C60" t="s">
        <v>625</v>
      </c>
    </row>
    <row r="61" spans="1:3" x14ac:dyDescent="0.4">
      <c r="A61" t="s">
        <v>256</v>
      </c>
      <c r="B61" t="str">
        <f>VLOOKUP(A61,装備閲覧!D:D,1,0)</f>
        <v>試製61cm六連装(酸素)魚雷</v>
      </c>
      <c r="C61" t="s">
        <v>625</v>
      </c>
    </row>
    <row r="62" spans="1:3" x14ac:dyDescent="0.4">
      <c r="A62" t="s">
        <v>124</v>
      </c>
      <c r="B62" t="str">
        <f>VLOOKUP(A62,装備閲覧!D:D,1,0)</f>
        <v>53cm艦首(酸素)魚雷</v>
      </c>
      <c r="C62" t="s">
        <v>625</v>
      </c>
    </row>
    <row r="63" spans="1:3" x14ac:dyDescent="0.4">
      <c r="A63" t="s">
        <v>444</v>
      </c>
      <c r="B63" t="str">
        <f>VLOOKUP(A63,装備閲覧!D:D,1,0)</f>
        <v>甲標的 丁型改(蛟龍改)</v>
      </c>
      <c r="C63" t="s">
        <v>625</v>
      </c>
    </row>
    <row r="64" spans="1:3" x14ac:dyDescent="0.4">
      <c r="A64" t="s">
        <v>247</v>
      </c>
      <c r="B64" t="str">
        <f>VLOOKUP(A64,装備閲覧!D:D,1,0)</f>
        <v>OS2U</v>
      </c>
      <c r="C64" t="s">
        <v>625</v>
      </c>
    </row>
    <row r="65" spans="1:3" x14ac:dyDescent="0.4">
      <c r="A65" t="s">
        <v>383</v>
      </c>
      <c r="B65" t="str">
        <f>VLOOKUP(A65,装備閲覧!D:D,1,0)</f>
        <v>S9 Osprey</v>
      </c>
      <c r="C65" t="s">
        <v>625</v>
      </c>
    </row>
    <row r="66" spans="1:3" x14ac:dyDescent="0.4">
      <c r="A66" t="s">
        <v>450</v>
      </c>
      <c r="B66" t="str">
        <f>VLOOKUP(A66,装備閲覧!D:D,1,0)</f>
        <v>Swordfish Mk.II改(水偵型)</v>
      </c>
      <c r="C66" t="s">
        <v>625</v>
      </c>
    </row>
    <row r="67" spans="1:3" x14ac:dyDescent="0.4">
      <c r="A67" t="s">
        <v>451</v>
      </c>
      <c r="B67" t="str">
        <f>VLOOKUP(A67,装備閲覧!D:D,1,0)</f>
        <v>Fairey Seafox改</v>
      </c>
      <c r="C67" t="s">
        <v>625</v>
      </c>
    </row>
    <row r="68" spans="1:3" x14ac:dyDescent="0.4">
      <c r="A68" t="s">
        <v>142</v>
      </c>
      <c r="B68" t="str">
        <f>VLOOKUP(A68,装備閲覧!D:D,1,0)</f>
        <v>瑞雲(六三四空)</v>
      </c>
      <c r="C68" t="s">
        <v>625</v>
      </c>
    </row>
    <row r="69" spans="1:3" x14ac:dyDescent="0.4">
      <c r="A69" t="s">
        <v>144</v>
      </c>
      <c r="B69" t="str">
        <f>VLOOKUP(A69,装備閲覧!D:D,1,0)</f>
        <v>瑞雲12型(六三四空)</v>
      </c>
      <c r="C69" t="s">
        <v>625</v>
      </c>
    </row>
    <row r="70" spans="1:3" x14ac:dyDescent="0.4">
      <c r="A70" t="s">
        <v>318</v>
      </c>
      <c r="B70" t="str">
        <f>VLOOKUP(A70,装備閲覧!D:D,1,0)</f>
        <v>瑞雲(六三四空/熟練)</v>
      </c>
      <c r="C70" t="s">
        <v>625</v>
      </c>
    </row>
    <row r="71" spans="1:3" x14ac:dyDescent="0.4">
      <c r="A71" t="s">
        <v>401</v>
      </c>
      <c r="B71" t="str">
        <f>VLOOKUP(A71,装備閲覧!D:D,1,0)</f>
        <v>瑞雲改二(六三四空)</v>
      </c>
      <c r="C71" t="s">
        <v>625</v>
      </c>
    </row>
    <row r="72" spans="1:3" x14ac:dyDescent="0.4">
      <c r="A72" t="s">
        <v>402</v>
      </c>
      <c r="B72" t="str">
        <f>VLOOKUP(A72,装備閲覧!D:D,1,0)</f>
        <v>瑞雲改二(六三四空/熟練)</v>
      </c>
      <c r="C72" t="s">
        <v>625</v>
      </c>
    </row>
    <row r="73" spans="1:3" x14ac:dyDescent="0.4">
      <c r="A73" t="s">
        <v>272</v>
      </c>
      <c r="B73" t="str">
        <f>VLOOKUP(A73,装備閲覧!D:D,1,0)</f>
        <v>Late 298B</v>
      </c>
      <c r="C73" t="s">
        <v>625</v>
      </c>
    </row>
    <row r="74" spans="1:3" x14ac:dyDescent="0.4">
      <c r="A74" t="s">
        <v>447</v>
      </c>
      <c r="B74" t="str">
        <f>VLOOKUP(A74,装備閲覧!D:D,1,0)</f>
        <v>Swordfish(水上機型)</v>
      </c>
      <c r="C74" t="s">
        <v>625</v>
      </c>
    </row>
    <row r="75" spans="1:3" x14ac:dyDescent="0.4">
      <c r="A75" t="s">
        <v>448</v>
      </c>
      <c r="B75" t="str">
        <f>VLOOKUP(A75,装備閲覧!D:D,1,0)</f>
        <v>Swordfish Mk.III改(水上機型)</v>
      </c>
      <c r="C75" t="s">
        <v>625</v>
      </c>
    </row>
    <row r="76" spans="1:3" x14ac:dyDescent="0.4">
      <c r="A76" t="s">
        <v>449</v>
      </c>
      <c r="B76" t="str">
        <f>VLOOKUP(A76,装備閲覧!D:D,1,0)</f>
        <v>Swordfish Mk.III改(水上機型/熟練)</v>
      </c>
      <c r="C76" t="s">
        <v>625</v>
      </c>
    </row>
    <row r="77" spans="1:3" x14ac:dyDescent="0.4">
      <c r="A77" t="s">
        <v>713</v>
      </c>
      <c r="B77" t="str">
        <f>VLOOKUP(A77,装備閲覧!D:D,1,0)</f>
        <v>TBM-3W+3S</v>
      </c>
      <c r="C77" t="s">
        <v>625</v>
      </c>
    </row>
    <row r="78" spans="1:3" x14ac:dyDescent="0.4">
      <c r="A78" t="s">
        <v>60</v>
      </c>
      <c r="B78" t="str">
        <f>VLOOKUP(A78,装備閲覧!D:D,1,0)</f>
        <v>九六式艦戦</v>
      </c>
      <c r="C78" t="s">
        <v>625</v>
      </c>
    </row>
    <row r="79" spans="1:3" x14ac:dyDescent="0.4">
      <c r="A79" t="s">
        <v>309</v>
      </c>
      <c r="B79" t="str">
        <f>VLOOKUP(A79,装備閲覧!D:D,1,0)</f>
        <v>九六式艦戦改</v>
      </c>
      <c r="C79" t="s">
        <v>625</v>
      </c>
    </row>
    <row r="80" spans="1:3" x14ac:dyDescent="0.4">
      <c r="A80" t="s">
        <v>415</v>
      </c>
      <c r="B80" t="str">
        <f>VLOOKUP(A80,装備閲覧!D:D,1,0)</f>
        <v>烈風改(試製艦載型)</v>
      </c>
      <c r="C80" t="s">
        <v>625</v>
      </c>
    </row>
    <row r="81" spans="1:3" x14ac:dyDescent="0.4">
      <c r="A81" t="s">
        <v>416</v>
      </c>
      <c r="B81" t="str">
        <f>VLOOKUP(A81,装備閲覧!D:D,1,0)</f>
        <v>烈風改二</v>
      </c>
      <c r="C81" t="s">
        <v>625</v>
      </c>
    </row>
    <row r="82" spans="1:3" x14ac:dyDescent="0.4">
      <c r="A82" t="s">
        <v>418</v>
      </c>
      <c r="B82" t="str">
        <f>VLOOKUP(A82,装備閲覧!D:D,1,0)</f>
        <v>烈風改二戊型</v>
      </c>
      <c r="C82" t="s">
        <v>625</v>
      </c>
    </row>
    <row r="83" spans="1:3" x14ac:dyDescent="0.4">
      <c r="A83" t="s">
        <v>419</v>
      </c>
      <c r="B83" t="str">
        <f>VLOOKUP(A83,装備閲覧!D:D,1,0)</f>
        <v>烈風改二戊型(一航戦/熟練)</v>
      </c>
      <c r="C83" t="s">
        <v>625</v>
      </c>
    </row>
    <row r="84" spans="1:3" x14ac:dyDescent="0.4">
      <c r="A84" t="s">
        <v>262</v>
      </c>
      <c r="B84" t="str">
        <f>VLOOKUP(A84,装備閲覧!D:D,1,0)</f>
        <v>Re.2001 OR改</v>
      </c>
      <c r="C84" t="s">
        <v>625</v>
      </c>
    </row>
    <row r="85" spans="1:3" x14ac:dyDescent="0.4">
      <c r="A85" t="s">
        <v>267</v>
      </c>
      <c r="B85" t="str">
        <f>VLOOKUP(A85,装備閲覧!D:D,1,0)</f>
        <v>Re.2005 改</v>
      </c>
      <c r="C85" t="s">
        <v>625</v>
      </c>
    </row>
    <row r="86" spans="1:3" x14ac:dyDescent="0.4">
      <c r="A86" t="s">
        <v>455</v>
      </c>
      <c r="B86" t="str">
        <f>VLOOKUP(A86,装備閲覧!D:D,1,0)</f>
        <v>XF5U</v>
      </c>
      <c r="C86" t="s">
        <v>625</v>
      </c>
    </row>
    <row r="87" spans="1:3" x14ac:dyDescent="0.4">
      <c r="A87" t="s">
        <v>716</v>
      </c>
      <c r="B87" t="str">
        <f>VLOOKUP(A87,装備閲覧!D:D,1,0)</f>
        <v>彗星</v>
      </c>
      <c r="C87" t="s">
        <v>625</v>
      </c>
    </row>
    <row r="88" spans="1:3" x14ac:dyDescent="0.4">
      <c r="A88" t="s">
        <v>715</v>
      </c>
      <c r="B88" t="str">
        <f>VLOOKUP(A88,装備閲覧!D:D,1,0)</f>
        <v>彗星一二型甲</v>
      </c>
      <c r="C88" t="s">
        <v>625</v>
      </c>
    </row>
    <row r="89" spans="1:3" x14ac:dyDescent="0.4">
      <c r="A89" t="s">
        <v>714</v>
      </c>
      <c r="B89" t="str">
        <f>VLOOKUP(A89,装備閲覧!D:D,1,0)</f>
        <v>彗星(六〇一空)</v>
      </c>
      <c r="C89" t="s">
        <v>625</v>
      </c>
    </row>
    <row r="90" spans="1:3" x14ac:dyDescent="0.4">
      <c r="A90" t="s">
        <v>163</v>
      </c>
      <c r="B90" t="str">
        <f>VLOOKUP(A90,装備閲覧!D:D,1,0)</f>
        <v>九九式艦爆(江草隊)</v>
      </c>
      <c r="C90" t="s">
        <v>625</v>
      </c>
    </row>
    <row r="91" spans="1:3" x14ac:dyDescent="0.4">
      <c r="A91" t="s">
        <v>472</v>
      </c>
      <c r="B91" t="str">
        <f>VLOOKUP(A91,装備閲覧!D:D,1,0)</f>
        <v>九九式艦爆二二型(熟練)</v>
      </c>
      <c r="C91" t="s">
        <v>625</v>
      </c>
    </row>
    <row r="92" spans="1:3" x14ac:dyDescent="0.4">
      <c r="A92" t="s">
        <v>164</v>
      </c>
      <c r="B92" t="str">
        <f>VLOOKUP(A92,装備閲覧!D:D,1,0)</f>
        <v>彗星(江草隊)</v>
      </c>
      <c r="C92" t="s">
        <v>625</v>
      </c>
    </row>
    <row r="93" spans="1:3" x14ac:dyDescent="0.4">
      <c r="A93" t="s">
        <v>370</v>
      </c>
      <c r="B93" t="str">
        <f>VLOOKUP(A93,装備閲覧!D:D,1,0)</f>
        <v>彗星二二型(六三四空)</v>
      </c>
      <c r="C93" t="s">
        <v>625</v>
      </c>
    </row>
    <row r="94" spans="1:3" x14ac:dyDescent="0.4">
      <c r="A94" t="s">
        <v>371</v>
      </c>
      <c r="B94" t="str">
        <f>VLOOKUP(A94,装備閲覧!D:D,1,0)</f>
        <v>彗星二二型(六三四空/熟練)</v>
      </c>
      <c r="C94" t="s">
        <v>625</v>
      </c>
    </row>
    <row r="95" spans="1:3" x14ac:dyDescent="0.4">
      <c r="A95" t="s">
        <v>399</v>
      </c>
      <c r="B95" t="str">
        <f>VLOOKUP(A95,装備閲覧!D:D,1,0)</f>
        <v>彗星一二型(六三四空/三号爆弾搭載機)</v>
      </c>
      <c r="C95" t="s">
        <v>625</v>
      </c>
    </row>
    <row r="96" spans="1:3" x14ac:dyDescent="0.4">
      <c r="A96" t="s">
        <v>400</v>
      </c>
      <c r="B96" t="str">
        <f>VLOOKUP(A96,装備閲覧!D:D,1,0)</f>
        <v>彗星一二型(三一号光電管爆弾搭載機)</v>
      </c>
      <c r="C96" t="s">
        <v>625</v>
      </c>
    </row>
    <row r="97" spans="1:3" x14ac:dyDescent="0.4">
      <c r="A97" t="s">
        <v>384</v>
      </c>
      <c r="B97" t="str">
        <f>VLOOKUP(A97,装備閲覧!D:D,1,0)</f>
        <v>Ju87C改二(KMX搭載機)</v>
      </c>
      <c r="C97" t="s">
        <v>625</v>
      </c>
    </row>
    <row r="98" spans="1:3" x14ac:dyDescent="0.4">
      <c r="A98" t="s">
        <v>385</v>
      </c>
      <c r="B98" t="str">
        <f>VLOOKUP(A98,装備閲覧!D:D,1,0)</f>
        <v>Ju87C改二(KMX搭載機/熟練)</v>
      </c>
      <c r="C98" t="s">
        <v>625</v>
      </c>
    </row>
    <row r="99" spans="1:3" x14ac:dyDescent="0.4">
      <c r="A99" t="s">
        <v>396</v>
      </c>
      <c r="B99" t="str">
        <f>VLOOKUP(A99,装備閲覧!D:D,1,0)</f>
        <v>Re.2001 CB改</v>
      </c>
      <c r="C99" t="s">
        <v>625</v>
      </c>
    </row>
    <row r="100" spans="1:3" x14ac:dyDescent="0.4">
      <c r="A100" t="s">
        <v>58</v>
      </c>
      <c r="B100" t="str">
        <f>VLOOKUP(A100,装備閲覧!D:D,1,0)</f>
        <v>流星</v>
      </c>
      <c r="C100" t="s">
        <v>625</v>
      </c>
    </row>
    <row r="101" spans="1:3" x14ac:dyDescent="0.4">
      <c r="A101" t="s">
        <v>107</v>
      </c>
      <c r="B101" t="str">
        <f>VLOOKUP(A101,装備閲覧!D:D,1,0)</f>
        <v>流星改</v>
      </c>
      <c r="C101" t="s">
        <v>625</v>
      </c>
    </row>
    <row r="102" spans="1:3" x14ac:dyDescent="0.4">
      <c r="A102" t="s">
        <v>422</v>
      </c>
      <c r="B102" t="str">
        <f>VLOOKUP(A102,装備閲覧!D:D,1,0)</f>
        <v>流星改(一航戦)</v>
      </c>
      <c r="C102" t="s">
        <v>625</v>
      </c>
    </row>
    <row r="103" spans="1:3" x14ac:dyDescent="0.4">
      <c r="A103" t="s">
        <v>423</v>
      </c>
      <c r="B103" t="str">
        <f>VLOOKUP(A103,装備閲覧!D:D,1,0)</f>
        <v>流星改(一航戦/熟練)</v>
      </c>
      <c r="C103" t="s">
        <v>625</v>
      </c>
    </row>
    <row r="104" spans="1:3" x14ac:dyDescent="0.4">
      <c r="A104" t="s">
        <v>156</v>
      </c>
      <c r="B104" t="str">
        <f>VLOOKUP(A104,装備閲覧!D:D,1,0)</f>
        <v>九七式艦攻(友永隊)</v>
      </c>
      <c r="C104" t="s">
        <v>625</v>
      </c>
    </row>
    <row r="105" spans="1:3" x14ac:dyDescent="0.4">
      <c r="A105" t="s">
        <v>717</v>
      </c>
      <c r="B105" t="str">
        <f>VLOOKUP(A105,装備閲覧!D:D,1,0)</f>
        <v>天山一二型(友永隊)</v>
      </c>
      <c r="C105" t="s">
        <v>625</v>
      </c>
    </row>
    <row r="106" spans="1:3" x14ac:dyDescent="0.4">
      <c r="A106" t="s">
        <v>215</v>
      </c>
      <c r="B106" t="str">
        <f>VLOOKUP(A106,装備閲覧!D:D,1,0)</f>
        <v>九七式艦攻(村田隊)</v>
      </c>
      <c r="C106" t="s">
        <v>625</v>
      </c>
    </row>
    <row r="107" spans="1:3" x14ac:dyDescent="0.4">
      <c r="A107" t="s">
        <v>685</v>
      </c>
      <c r="B107" t="str">
        <f>VLOOKUP(A107,装備閲覧!D:D,1,0)</f>
        <v>天山一二型(村田隊)</v>
      </c>
      <c r="C107" t="s">
        <v>625</v>
      </c>
    </row>
    <row r="108" spans="1:3" x14ac:dyDescent="0.4">
      <c r="A108" t="s">
        <v>145</v>
      </c>
      <c r="B108" t="str">
        <f>VLOOKUP(A108,装備閲覧!D:D,1,0)</f>
        <v>九七式艦攻(九三一空)</v>
      </c>
      <c r="C108" t="s">
        <v>625</v>
      </c>
    </row>
    <row r="109" spans="1:3" x14ac:dyDescent="0.4">
      <c r="A109" t="s">
        <v>381</v>
      </c>
      <c r="B109" t="str">
        <f>VLOOKUP(A109,装備閲覧!D:D,1,0)</f>
        <v>九七式艦攻(九三一空/熟練)</v>
      </c>
      <c r="C109" t="s">
        <v>625</v>
      </c>
    </row>
    <row r="110" spans="1:3" x14ac:dyDescent="0.4">
      <c r="A110" t="s">
        <v>266</v>
      </c>
      <c r="B110" t="str">
        <f>VLOOKUP(A110,装備閲覧!D:D,1,0)</f>
        <v>Re.2001 G改</v>
      </c>
      <c r="C110" t="s">
        <v>625</v>
      </c>
    </row>
    <row r="111" spans="1:3" x14ac:dyDescent="0.4">
      <c r="A111" t="s">
        <v>424</v>
      </c>
      <c r="B111" t="str">
        <f>VLOOKUP(A111,装備閲覧!D:D,1,0)</f>
        <v>九七式艦攻改 試製三号戊型(空六号電探改装備機)</v>
      </c>
      <c r="C111" t="s">
        <v>625</v>
      </c>
    </row>
    <row r="112" spans="1:3" x14ac:dyDescent="0.4">
      <c r="A112" t="s">
        <v>425</v>
      </c>
      <c r="B112" t="str">
        <f>VLOOKUP(A112,装備閲覧!D:D,1,0)</f>
        <v>九七式艦攻改(熟練) 試製三号戊型(空六号電探改装備機)</v>
      </c>
      <c r="C112" t="s">
        <v>625</v>
      </c>
    </row>
    <row r="113" spans="1:3" x14ac:dyDescent="0.4">
      <c r="A113" t="s">
        <v>453</v>
      </c>
      <c r="B113" t="str">
        <f>VLOOKUP(A113,装備閲覧!D:D,1,0)</f>
        <v>天山一二型甲改(空六号電探改装備機)</v>
      </c>
      <c r="C113" t="s">
        <v>625</v>
      </c>
    </row>
    <row r="114" spans="1:3" x14ac:dyDescent="0.4">
      <c r="A114" t="s">
        <v>718</v>
      </c>
      <c r="B114" t="str">
        <f>VLOOKUP(A114,装備閲覧!D:D,1,0)</f>
        <v>天山一二型甲改(熟練/空六号電探改装備機)</v>
      </c>
      <c r="C114" t="s">
        <v>625</v>
      </c>
    </row>
    <row r="115" spans="1:3" x14ac:dyDescent="0.4">
      <c r="A115" t="s">
        <v>452</v>
      </c>
      <c r="B115" t="str">
        <f>VLOOKUP(A115,装備閲覧!D:D,1,0)</f>
        <v>天山一二型甲</v>
      </c>
      <c r="C115" t="s">
        <v>625</v>
      </c>
    </row>
    <row r="116" spans="1:3" x14ac:dyDescent="0.4">
      <c r="A116" t="s">
        <v>720</v>
      </c>
      <c r="B116" t="str">
        <f>VLOOKUP(A116,装備閲覧!D:D,1,0)</f>
        <v>彩雲</v>
      </c>
      <c r="C116" t="s">
        <v>625</v>
      </c>
    </row>
    <row r="117" spans="1:3" x14ac:dyDescent="0.4">
      <c r="A117" t="s">
        <v>719</v>
      </c>
      <c r="B117" t="str">
        <f>VLOOKUP(A117,装備閲覧!D:D,1,0)</f>
        <v>試製景雲(艦偵型)</v>
      </c>
      <c r="C117" t="s">
        <v>625</v>
      </c>
    </row>
    <row r="118" spans="1:3" x14ac:dyDescent="0.4">
      <c r="A118" t="s">
        <v>653</v>
      </c>
      <c r="B118" t="str">
        <f>VLOOKUP(A118,装備閲覧!D:D,1,0)</f>
        <v>彩雲(偵四)</v>
      </c>
      <c r="C118" t="s">
        <v>625</v>
      </c>
    </row>
    <row r="119" spans="1:3" x14ac:dyDescent="0.4">
      <c r="A119" t="s">
        <v>118</v>
      </c>
      <c r="B119" t="str">
        <f>VLOOKUP(A119,装備閲覧!D:D,1,0)</f>
        <v>二式艦上偵察機</v>
      </c>
      <c r="C119" t="s">
        <v>625</v>
      </c>
    </row>
    <row r="120" spans="1:3" x14ac:dyDescent="0.4">
      <c r="A120" t="s">
        <v>82</v>
      </c>
      <c r="B120" t="str">
        <f>VLOOKUP(A120,装備閲覧!D:D,1,0)</f>
        <v>改良型艦本式タービン</v>
      </c>
      <c r="C120" t="s">
        <v>625</v>
      </c>
    </row>
    <row r="121" spans="1:3" x14ac:dyDescent="0.4">
      <c r="A121" t="s">
        <v>83</v>
      </c>
      <c r="B121" t="str">
        <f>VLOOKUP(A121,装備閲覧!D:D,1,0)</f>
        <v>強化型艦本式缶</v>
      </c>
      <c r="C121" t="s">
        <v>625</v>
      </c>
    </row>
    <row r="122" spans="1:3" x14ac:dyDescent="0.4">
      <c r="A122" t="s">
        <v>150</v>
      </c>
      <c r="B122" t="str">
        <f>VLOOKUP(A122,装備閲覧!D:D,1,0)</f>
        <v>新型高温高圧缶</v>
      </c>
      <c r="C122" t="s">
        <v>625</v>
      </c>
    </row>
    <row r="123" spans="1:3" x14ac:dyDescent="0.4">
      <c r="A123" t="s">
        <v>128</v>
      </c>
      <c r="B123" t="str">
        <f>VLOOKUP(A123,装備閲覧!D:D,1,0)</f>
        <v>カ号観測機</v>
      </c>
      <c r="C123" t="s">
        <v>625</v>
      </c>
    </row>
    <row r="124" spans="1:3" x14ac:dyDescent="0.4">
      <c r="A124" t="s">
        <v>404</v>
      </c>
      <c r="B124" t="str">
        <f>VLOOKUP(A124,装備閲覧!D:D,1,0)</f>
        <v>オ号観測機改</v>
      </c>
      <c r="C124" t="s">
        <v>625</v>
      </c>
    </row>
    <row r="125" spans="1:3" x14ac:dyDescent="0.4">
      <c r="A125" t="s">
        <v>405</v>
      </c>
      <c r="B125" t="str">
        <f>VLOOKUP(A125,装備閲覧!D:D,1,0)</f>
        <v>オ号観測機改二</v>
      </c>
      <c r="C125" t="s">
        <v>625</v>
      </c>
    </row>
    <row r="126" spans="1:3" x14ac:dyDescent="0.4">
      <c r="A126" t="s">
        <v>406</v>
      </c>
      <c r="B126" t="str">
        <f>VLOOKUP(A126,装備閲覧!D:D,1,0)</f>
        <v>S-51J</v>
      </c>
      <c r="C126" t="s">
        <v>625</v>
      </c>
    </row>
    <row r="127" spans="1:3" x14ac:dyDescent="0.4">
      <c r="A127" t="s">
        <v>407</v>
      </c>
      <c r="B127" t="str">
        <f>VLOOKUP(A127,装備閲覧!D:D,1,0)</f>
        <v>S-51J改</v>
      </c>
      <c r="C127" t="s">
        <v>625</v>
      </c>
    </row>
    <row r="128" spans="1:3" x14ac:dyDescent="0.4">
      <c r="A128" t="s">
        <v>136</v>
      </c>
      <c r="B128" t="str">
        <f>VLOOKUP(A128,装備閲覧!D:D,1,0)</f>
        <v>探照灯</v>
      </c>
      <c r="C128" t="s">
        <v>625</v>
      </c>
    </row>
    <row r="129" spans="1:3" x14ac:dyDescent="0.4">
      <c r="A129" t="s">
        <v>212</v>
      </c>
      <c r="B129" t="str">
        <f>VLOOKUP(A129,装備閲覧!D:D,1,0)</f>
        <v>96式150cm探照灯</v>
      </c>
      <c r="C129" t="s">
        <v>625</v>
      </c>
    </row>
    <row r="130" spans="1:3" x14ac:dyDescent="0.4">
      <c r="A130" t="s">
        <v>198</v>
      </c>
      <c r="B130" t="str">
        <f>VLOOKUP(A130,装備閲覧!D:D,1,0)</f>
        <v>熟練見張員</v>
      </c>
      <c r="C130" t="s">
        <v>625</v>
      </c>
    </row>
    <row r="131" spans="1:3" x14ac:dyDescent="0.4">
      <c r="A131" t="s">
        <v>721</v>
      </c>
      <c r="B131" t="str">
        <f>VLOOKUP(A131,装備閲覧!D:D,1,0)</f>
        <v>後期型潜水艦搭載電探&amp;逆探</v>
      </c>
      <c r="C131" t="s">
        <v>625</v>
      </c>
    </row>
    <row r="132" spans="1:3" x14ac:dyDescent="0.4">
      <c r="A132" t="s">
        <v>170</v>
      </c>
      <c r="B132" t="str">
        <f>VLOOKUP(A132,装備閲覧!D:D,1,0)</f>
        <v>13号対空電探改</v>
      </c>
      <c r="C132" t="s">
        <v>625</v>
      </c>
    </row>
    <row r="133" spans="1:3" x14ac:dyDescent="0.4">
      <c r="A133" t="s">
        <v>386</v>
      </c>
      <c r="B133" t="str">
        <f>VLOOKUP(A133,装備閲覧!D:D,1,0)</f>
        <v>GFCS Mk.37</v>
      </c>
      <c r="C133" t="s">
        <v>625</v>
      </c>
    </row>
    <row r="134" spans="1:3" x14ac:dyDescent="0.4">
      <c r="A134" t="s">
        <v>395</v>
      </c>
      <c r="B134" t="str">
        <f>VLOOKUP(A134,装備閲覧!D:D,1,0)</f>
        <v>SG レーダー(初期型)</v>
      </c>
      <c r="C134" t="s">
        <v>625</v>
      </c>
    </row>
    <row r="135" spans="1:3" x14ac:dyDescent="0.4">
      <c r="A135" t="s">
        <v>639</v>
      </c>
      <c r="B135" t="str">
        <f>VLOOKUP(A135,装備閲覧!D:D,1,0)</f>
        <v>SK レーダー</v>
      </c>
      <c r="C135" t="s">
        <v>625</v>
      </c>
    </row>
    <row r="136" spans="1:3" x14ac:dyDescent="0.4">
      <c r="A136" t="s">
        <v>683</v>
      </c>
      <c r="B136" t="str">
        <f>VLOOKUP(A136,装備閲覧!D:D,1,0)</f>
        <v>SK+SG レーダー</v>
      </c>
      <c r="C136" t="s">
        <v>625</v>
      </c>
    </row>
    <row r="137" spans="1:3" x14ac:dyDescent="0.4">
      <c r="A137" t="s">
        <v>102</v>
      </c>
      <c r="B137" t="str">
        <f>VLOOKUP(A137,装備閲覧!D:D,1,0)</f>
        <v>三式水中探信儀</v>
      </c>
      <c r="C137" t="s">
        <v>625</v>
      </c>
    </row>
    <row r="138" spans="1:3" x14ac:dyDescent="0.4">
      <c r="A138" t="s">
        <v>222</v>
      </c>
      <c r="B138" t="str">
        <f>VLOOKUP(A138,装備閲覧!D:D,1,0)</f>
        <v>四式水中聴音機</v>
      </c>
      <c r="C138" t="s">
        <v>625</v>
      </c>
    </row>
    <row r="139" spans="1:3" x14ac:dyDescent="0.4">
      <c r="A139" t="s">
        <v>366</v>
      </c>
      <c r="B139" t="str">
        <f>VLOOKUP(A139,装備閲覧!D:D,1,0)</f>
        <v>三式爆雷投射機 集中配備</v>
      </c>
      <c r="C139" t="s">
        <v>625</v>
      </c>
    </row>
    <row r="140" spans="1:3" x14ac:dyDescent="0.4">
      <c r="A140" t="s">
        <v>367</v>
      </c>
      <c r="B140" t="str">
        <f>VLOOKUP(A140,装備閲覧!D:D,1,0)</f>
        <v>試製15cm9連装対潜噴進砲</v>
      </c>
      <c r="C140" t="s">
        <v>625</v>
      </c>
    </row>
    <row r="141" spans="1:3" x14ac:dyDescent="0.4">
      <c r="A141" t="s">
        <v>457</v>
      </c>
      <c r="B141" t="str">
        <f>VLOOKUP(A141,装備閲覧!D:D,1,0)</f>
        <v>RUR-4A Weapon Alpha改</v>
      </c>
      <c r="C141" t="s">
        <v>625</v>
      </c>
    </row>
    <row r="142" spans="1:3" x14ac:dyDescent="0.4">
      <c r="A142" t="s">
        <v>458</v>
      </c>
      <c r="B142" t="str">
        <f>VLOOKUP(A142,装備閲覧!D:D,1,0)</f>
        <v>対潜短魚雷(試作初期型)</v>
      </c>
      <c r="C142" t="s">
        <v>625</v>
      </c>
    </row>
    <row r="143" spans="1:3" x14ac:dyDescent="0.4">
      <c r="A143" t="s">
        <v>85</v>
      </c>
      <c r="B143" t="str">
        <f>VLOOKUP(A143,装備閲覧!D:D,1,0)</f>
        <v>三式弾</v>
      </c>
      <c r="C143" t="s">
        <v>625</v>
      </c>
    </row>
    <row r="144" spans="1:3" x14ac:dyDescent="0.4">
      <c r="A144" t="s">
        <v>397</v>
      </c>
      <c r="B144" t="str">
        <f>VLOOKUP(A144,装備閲覧!D:D,1,0)</f>
        <v>三式弾改</v>
      </c>
      <c r="C144" t="s">
        <v>625</v>
      </c>
    </row>
    <row r="145" spans="1:3" x14ac:dyDescent="0.4">
      <c r="A145" t="s">
        <v>445</v>
      </c>
      <c r="B145" t="str">
        <f>VLOOKUP(A145,装備閲覧!D:D,1,0)</f>
        <v>一式徹甲弾改</v>
      </c>
      <c r="C145" t="s">
        <v>625</v>
      </c>
    </row>
    <row r="146" spans="1:3" x14ac:dyDescent="0.4">
      <c r="A146" t="s">
        <v>380</v>
      </c>
      <c r="B146" t="str">
        <f>VLOOKUP(A146,装備閲覧!D:D,1,0)</f>
        <v>20連装7inch UP Rocket Launchers</v>
      </c>
      <c r="C146" t="s">
        <v>625</v>
      </c>
    </row>
    <row r="147" spans="1:3" x14ac:dyDescent="0.4">
      <c r="A147" t="s">
        <v>722</v>
      </c>
      <c r="B147" t="str">
        <f>VLOOKUP(A147,装備閲覧!D:D,1,0)</f>
        <v>北方迷彩(+北方装備)</v>
      </c>
      <c r="C147" t="s">
        <v>625</v>
      </c>
    </row>
    <row r="148" spans="1:3" x14ac:dyDescent="0.4">
      <c r="A148" t="s">
        <v>283</v>
      </c>
      <c r="B148" t="str">
        <f>VLOOKUP(A148,装備閲覧!D:D,1,0)</f>
        <v>艦本新設計 増設バルジ(大型艦)</v>
      </c>
      <c r="C148" t="s">
        <v>625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装備データ</vt:lpstr>
      <vt:lpstr>装備閲覧</vt:lpstr>
      <vt:lpstr>Sheet2</vt:lpstr>
      <vt:lpstr>wikiName</vt:lpstr>
      <vt:lpstr>改修</vt:lpstr>
      <vt:lpstr>特殊改修値</vt:lpstr>
      <vt:lpstr>装備ボーナス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YTRCNN</dc:creator>
  <cp:lastModifiedBy>YTRCNN</cp:lastModifiedBy>
  <dcterms:created xsi:type="dcterms:W3CDTF">2020-11-02T08:41:19Z</dcterms:created>
  <dcterms:modified xsi:type="dcterms:W3CDTF">2020-11-05T08:00:54Z</dcterms:modified>
</cp:coreProperties>
</file>